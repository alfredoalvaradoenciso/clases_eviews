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alvarado\Downloads\"/>
    </mc:Choice>
  </mc:AlternateContent>
  <xr:revisionPtr revIDLastSave="0" documentId="8_{9578C52D-4F64-4FC0-A9DF-6F5B509E54B1}" xr6:coauthVersionLast="47" xr6:coauthVersionMax="47" xr10:uidLastSave="{00000000-0000-0000-0000-000000000000}"/>
  <bookViews>
    <workbookView xWindow="12310" yWindow="1700" windowWidth="16150" windowHeight="11700" activeTab="2" xr2:uid="{0DCF285A-8238-4632-A352-A7E7CB9162A1}"/>
  </bookViews>
  <sheets>
    <sheet name="Sheet1" sheetId="1" r:id="rId1"/>
    <sheet name="Sheet2" sheetId="2" r:id="rId2"/>
    <sheet name="Sheet3" sheetId="3" r:id="rId3"/>
    <sheet name="shock" sheetId="4" r:id="rId4"/>
  </sheets>
  <definedNames>
    <definedName name="_DLX1.USE">Sheet1!$A$1:$I$7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90" i="3" l="1"/>
  <c r="F91" i="3"/>
  <c r="F92" i="3"/>
  <c r="F93" i="3" s="1"/>
  <c r="F94" i="3" s="1"/>
  <c r="F89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3" i="3"/>
  <c r="E94" i="3"/>
  <c r="D94" i="3"/>
  <c r="C94" i="3"/>
  <c r="E93" i="3"/>
  <c r="D93" i="3"/>
  <c r="C93" i="3"/>
  <c r="E92" i="3"/>
  <c r="D92" i="3"/>
  <c r="C92" i="3"/>
  <c r="E91" i="3"/>
  <c r="D91" i="3"/>
  <c r="C91" i="3"/>
  <c r="E90" i="3"/>
  <c r="D90" i="3"/>
  <c r="C90" i="3"/>
  <c r="E89" i="3"/>
  <c r="D89" i="3"/>
  <c r="C89" i="3"/>
  <c r="E88" i="3"/>
  <c r="D88" i="3"/>
  <c r="C88" i="3"/>
  <c r="E87" i="3"/>
  <c r="D87" i="3"/>
  <c r="C87" i="3"/>
  <c r="E86" i="3"/>
  <c r="D86" i="3"/>
  <c r="C86" i="3"/>
  <c r="E85" i="3"/>
  <c r="D85" i="3"/>
  <c r="C85" i="3"/>
  <c r="E84" i="3"/>
  <c r="D84" i="3"/>
  <c r="C84" i="3"/>
  <c r="E83" i="3"/>
  <c r="D83" i="3"/>
  <c r="C83" i="3"/>
  <c r="E82" i="3"/>
  <c r="D82" i="3"/>
  <c r="C82" i="3"/>
  <c r="E81" i="3"/>
  <c r="D81" i="3"/>
  <c r="C81" i="3"/>
  <c r="E80" i="3"/>
  <c r="D80" i="3"/>
  <c r="C80" i="3"/>
  <c r="E79" i="3"/>
  <c r="D79" i="3"/>
  <c r="C79" i="3"/>
  <c r="E78" i="3"/>
  <c r="D78" i="3"/>
  <c r="C78" i="3"/>
  <c r="E77" i="3"/>
  <c r="D77" i="3"/>
  <c r="C77" i="3"/>
  <c r="E76" i="3"/>
  <c r="D76" i="3"/>
  <c r="C76" i="3"/>
  <c r="E75" i="3"/>
  <c r="D75" i="3"/>
  <c r="C75" i="3"/>
  <c r="E74" i="3"/>
  <c r="D74" i="3"/>
  <c r="C74" i="3"/>
  <c r="E73" i="3"/>
  <c r="D73" i="3"/>
  <c r="C73" i="3"/>
  <c r="E72" i="3"/>
  <c r="D72" i="3"/>
  <c r="C72" i="3"/>
  <c r="E71" i="3"/>
  <c r="D71" i="3"/>
  <c r="C71" i="3"/>
  <c r="E70" i="3"/>
  <c r="D70" i="3"/>
  <c r="C70" i="3"/>
  <c r="E69" i="3"/>
  <c r="D69" i="3"/>
  <c r="C69" i="3"/>
  <c r="E68" i="3"/>
  <c r="D68" i="3"/>
  <c r="C68" i="3"/>
  <c r="E67" i="3"/>
  <c r="D67" i="3"/>
  <c r="C67" i="3"/>
  <c r="E66" i="3"/>
  <c r="D66" i="3"/>
  <c r="C66" i="3"/>
  <c r="E65" i="3"/>
  <c r="D65" i="3"/>
  <c r="C65" i="3"/>
  <c r="E64" i="3"/>
  <c r="D64" i="3"/>
  <c r="C64" i="3"/>
  <c r="E63" i="3"/>
  <c r="D63" i="3"/>
  <c r="C63" i="3"/>
  <c r="E62" i="3"/>
  <c r="D62" i="3"/>
  <c r="C62" i="3"/>
  <c r="E61" i="3"/>
  <c r="D61" i="3"/>
  <c r="C61" i="3"/>
  <c r="E60" i="3"/>
  <c r="D60" i="3"/>
  <c r="C60" i="3"/>
  <c r="E59" i="3"/>
  <c r="D59" i="3"/>
  <c r="C59" i="3"/>
  <c r="E58" i="3"/>
  <c r="D58" i="3"/>
  <c r="C58" i="3"/>
  <c r="E57" i="3"/>
  <c r="D57" i="3"/>
  <c r="C57" i="3"/>
  <c r="E56" i="3"/>
  <c r="D56" i="3"/>
  <c r="C56" i="3"/>
  <c r="E55" i="3"/>
  <c r="D55" i="3"/>
  <c r="C55" i="3"/>
  <c r="E54" i="3"/>
  <c r="D54" i="3"/>
  <c r="C54" i="3"/>
  <c r="E53" i="3"/>
  <c r="D53" i="3"/>
  <c r="C53" i="3"/>
  <c r="E52" i="3"/>
  <c r="D52" i="3"/>
  <c r="C52" i="3"/>
  <c r="E51" i="3"/>
  <c r="D51" i="3"/>
  <c r="C51" i="3"/>
  <c r="E50" i="3"/>
  <c r="D50" i="3"/>
  <c r="C50" i="3"/>
  <c r="E49" i="3"/>
  <c r="D49" i="3"/>
  <c r="C49" i="3"/>
  <c r="E48" i="3"/>
  <c r="D48" i="3"/>
  <c r="C48" i="3"/>
  <c r="E47" i="3"/>
  <c r="D47" i="3"/>
  <c r="C47" i="3"/>
  <c r="E46" i="3"/>
  <c r="D46" i="3"/>
  <c r="C46" i="3"/>
  <c r="E45" i="3"/>
  <c r="D45" i="3"/>
  <c r="C45" i="3"/>
  <c r="E44" i="3"/>
  <c r="D44" i="3"/>
  <c r="C44" i="3"/>
  <c r="E43" i="3"/>
  <c r="D43" i="3"/>
  <c r="C43" i="3"/>
  <c r="E42" i="3"/>
  <c r="D42" i="3"/>
  <c r="C42" i="3"/>
  <c r="E41" i="3"/>
  <c r="D41" i="3"/>
  <c r="C41" i="3"/>
  <c r="E40" i="3"/>
  <c r="D40" i="3"/>
  <c r="C40" i="3"/>
  <c r="E39" i="3"/>
  <c r="D39" i="3"/>
  <c r="C39" i="3"/>
  <c r="E38" i="3"/>
  <c r="D38" i="3"/>
  <c r="C38" i="3"/>
  <c r="E37" i="3"/>
  <c r="D37" i="3"/>
  <c r="C37" i="3"/>
  <c r="E36" i="3"/>
  <c r="D36" i="3"/>
  <c r="C36" i="3"/>
  <c r="E35" i="3"/>
  <c r="D35" i="3"/>
  <c r="C35" i="3"/>
  <c r="E34" i="3"/>
  <c r="D34" i="3"/>
  <c r="C34" i="3"/>
  <c r="E33" i="3"/>
  <c r="D33" i="3"/>
  <c r="C33" i="3"/>
  <c r="E32" i="3"/>
  <c r="D32" i="3"/>
  <c r="C32" i="3"/>
  <c r="E31" i="3"/>
  <c r="D31" i="3"/>
  <c r="C31" i="3"/>
  <c r="E30" i="3"/>
  <c r="D30" i="3"/>
  <c r="C30" i="3"/>
  <c r="E29" i="3"/>
  <c r="D29" i="3"/>
  <c r="C29" i="3"/>
  <c r="E28" i="3"/>
  <c r="D28" i="3"/>
  <c r="C28" i="3"/>
  <c r="E27" i="3"/>
  <c r="D27" i="3"/>
  <c r="C27" i="3"/>
  <c r="E26" i="3"/>
  <c r="D26" i="3"/>
  <c r="C26" i="3"/>
  <c r="E25" i="3"/>
  <c r="D25" i="3"/>
  <c r="C25" i="3"/>
  <c r="E24" i="3"/>
  <c r="D24" i="3"/>
  <c r="C24" i="3"/>
  <c r="E23" i="3"/>
  <c r="D23" i="3"/>
  <c r="C23" i="3"/>
  <c r="E22" i="3"/>
  <c r="D22" i="3"/>
  <c r="C22" i="3"/>
  <c r="E21" i="3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Alvarado, Alfredo</author>
  </authors>
  <commentList>
    <comment ref="A2" authorId="0" shapeId="0" xr:uid="{50F08271-1DF8-435F-AC12-319A382EA620}">
      <text>
        <r>
          <rPr>
            <b/>
            <sz val="9"/>
            <color indexed="81"/>
            <rFont val="Tahoma"/>
            <family val="2"/>
          </rPr>
          <t>Last refreshed by aalvarado on 10/26/2026 11:34:12 AM EST</t>
        </r>
      </text>
    </comment>
  </commentList>
</comments>
</file>

<file path=xl/sharedStrings.xml><?xml version="1.0" encoding="utf-8"?>
<sst xmlns="http://schemas.openxmlformats.org/spreadsheetml/2006/main" count="816" uniqueCount="265">
  <si>
    <t>N238AFID@EMERGELA</t>
  </si>
  <si>
    <t>N238PFTT@EMERGELA</t>
  </si>
  <si>
    <t>N238XRE@EMERGELA</t>
  </si>
  <si>
    <t>N238PC@EMERGELA</t>
  </si>
  <si>
    <t>GDPH@USECON</t>
  </si>
  <si>
    <t>20001 *Q</t>
  </si>
  <si>
    <t>.excel_last</t>
  </si>
  <si>
    <t>20001</t>
  </si>
  <si>
    <t>20002</t>
  </si>
  <si>
    <t>20003</t>
  </si>
  <si>
    <t>20004</t>
  </si>
  <si>
    <t>20011</t>
  </si>
  <si>
    <t>20012</t>
  </si>
  <si>
    <t>20013</t>
  </si>
  <si>
    <t>20014</t>
  </si>
  <si>
    <t>20021</t>
  </si>
  <si>
    <t>20022</t>
  </si>
  <si>
    <t>20023</t>
  </si>
  <si>
    <t>20024</t>
  </si>
  <si>
    <t>20031</t>
  </si>
  <si>
    <t>20032</t>
  </si>
  <si>
    <t>20033</t>
  </si>
  <si>
    <t>20034</t>
  </si>
  <si>
    <t>20041</t>
  </si>
  <si>
    <t>20042</t>
  </si>
  <si>
    <t>20043</t>
  </si>
  <si>
    <t>20044</t>
  </si>
  <si>
    <t>20051</t>
  </si>
  <si>
    <t>20052</t>
  </si>
  <si>
    <t>20053</t>
  </si>
  <si>
    <t>20054</t>
  </si>
  <si>
    <t>20061</t>
  </si>
  <si>
    <t>20062</t>
  </si>
  <si>
    <t>20063</t>
  </si>
  <si>
    <t>20064</t>
  </si>
  <si>
    <t>20071</t>
  </si>
  <si>
    <t>20072</t>
  </si>
  <si>
    <t>20073</t>
  </si>
  <si>
    <t>20074</t>
  </si>
  <si>
    <t>20081</t>
  </si>
  <si>
    <t>20082</t>
  </si>
  <si>
    <t>20083</t>
  </si>
  <si>
    <t>20084</t>
  </si>
  <si>
    <t>20091</t>
  </si>
  <si>
    <t>20092</t>
  </si>
  <si>
    <t>20093</t>
  </si>
  <si>
    <t>20094</t>
  </si>
  <si>
    <t>20101</t>
  </si>
  <si>
    <t>20102</t>
  </si>
  <si>
    <t>20103</t>
  </si>
  <si>
    <t>20104</t>
  </si>
  <si>
    <t>20111</t>
  </si>
  <si>
    <t>20112</t>
  </si>
  <si>
    <t>20113</t>
  </si>
  <si>
    <t>20114</t>
  </si>
  <si>
    <t>20121</t>
  </si>
  <si>
    <t>20122</t>
  </si>
  <si>
    <t>20123</t>
  </si>
  <si>
    <t>20124</t>
  </si>
  <si>
    <t>20131</t>
  </si>
  <si>
    <t>20132</t>
  </si>
  <si>
    <t>20133</t>
  </si>
  <si>
    <t>20134</t>
  </si>
  <si>
    <t>20141</t>
  </si>
  <si>
    <t>20142</t>
  </si>
  <si>
    <t>20143</t>
  </si>
  <si>
    <t>20144</t>
  </si>
  <si>
    <t>20151</t>
  </si>
  <si>
    <t>20152</t>
  </si>
  <si>
    <t>20153</t>
  </si>
  <si>
    <t>20154</t>
  </si>
  <si>
    <t>20161</t>
  </si>
  <si>
    <t>20162</t>
  </si>
  <si>
    <t>20163</t>
  </si>
  <si>
    <t>20164</t>
  </si>
  <si>
    <t>20171</t>
  </si>
  <si>
    <t>20172</t>
  </si>
  <si>
    <t>20173</t>
  </si>
  <si>
    <t>20174</t>
  </si>
  <si>
    <t>20181</t>
  </si>
  <si>
    <t>20182</t>
  </si>
  <si>
    <t>20183</t>
  </si>
  <si>
    <t>20184</t>
  </si>
  <si>
    <t>20191</t>
  </si>
  <si>
    <t>20192</t>
  </si>
  <si>
    <t>20193</t>
  </si>
  <si>
    <t>20194</t>
  </si>
  <si>
    <t>20201</t>
  </si>
  <si>
    <t>20202</t>
  </si>
  <si>
    <t>20203</t>
  </si>
  <si>
    <t>20204</t>
  </si>
  <si>
    <t>20211</t>
  </si>
  <si>
    <t>20212</t>
  </si>
  <si>
    <t>20213</t>
  </si>
  <si>
    <t>20214</t>
  </si>
  <si>
    <t>20221</t>
  </si>
  <si>
    <t>20222</t>
  </si>
  <si>
    <t>20223</t>
  </si>
  <si>
    <t>20224</t>
  </si>
  <si>
    <t>20231</t>
  </si>
  <si>
    <t>20232</t>
  </si>
  <si>
    <t>20233</t>
  </si>
  <si>
    <t>20234</t>
  </si>
  <si>
    <t>20241</t>
  </si>
  <si>
    <t>20242</t>
  </si>
  <si>
    <t>20243</t>
  </si>
  <si>
    <t>20244</t>
  </si>
  <si>
    <t>20251</t>
  </si>
  <si>
    <t>20252</t>
  </si>
  <si>
    <t>20253</t>
  </si>
  <si>
    <t>20254</t>
  </si>
  <si>
    <t>20261</t>
  </si>
  <si>
    <t>20262</t>
  </si>
  <si>
    <t>20263</t>
  </si>
  <si>
    <t>.MAG</t>
  </si>
  <si>
    <t>.FRQ</t>
  </si>
  <si>
    <t>.DTLM</t>
  </si>
  <si>
    <t>.AGG</t>
  </si>
  <si>
    <t>.SOURCE</t>
  </si>
  <si>
    <t>.DESC</t>
  </si>
  <si>
    <t>6</t>
  </si>
  <si>
    <t>Quarterly</t>
  </si>
  <si>
    <t>Sep-30-2026 19:49</t>
  </si>
  <si>
    <t>Sum</t>
  </si>
  <si>
    <t>BCCR</t>
  </si>
  <si>
    <t>Costa Rica: BOP: Fin Acct: Direct Inv, Net Incurrence of Liab (NSA, Mil.US$)</t>
  </si>
  <si>
    <t>Quarterly &lt;- Monthly</t>
  </si>
  <si>
    <t>0</t>
  </si>
  <si>
    <t>Sep-30-2026 23:07</t>
  </si>
  <si>
    <t>Average</t>
  </si>
  <si>
    <t>BCCR/H</t>
  </si>
  <si>
    <t>Costa Rica: Terms of Trade (NSA, 2017=100)</t>
  </si>
  <si>
    <t>Oct-13-2026 21:08</t>
  </si>
  <si>
    <t>Costa Rica: Real Effective Multilateral Exh Rate, Mvng Weights (NSA, Jan 97=100)</t>
  </si>
  <si>
    <t>Oct-07-2026 12:50</t>
  </si>
  <si>
    <t>INEC</t>
  </si>
  <si>
    <t>Costa Rica: Consumer Price Index (NSA, Jun-26=100)</t>
  </si>
  <si>
    <t>9</t>
  </si>
  <si>
    <t>Sep-30-2026 08:31</t>
  </si>
  <si>
    <t>BEA</t>
  </si>
  <si>
    <t>Real Gross Domestic Product (SAAR, Bil.Chn.2017$)</t>
  </si>
  <si>
    <t>N238NGDP@EMERGELA</t>
  </si>
  <si>
    <t>Sep-30-2026 22:56</t>
  </si>
  <si>
    <t>Costa Rica: Gross Domestic Product (NSA, Mil.CRC)</t>
  </si>
  <si>
    <t>Database</t>
  </si>
  <si>
    <t>Series_code</t>
  </si>
  <si>
    <t>\\DATA2\WHD\DATA\CA\CRI\Databases\Macroframework\Current\cri_macrofw.dmxe</t>
  </si>
  <si>
    <t>238PCPI_Q</t>
  </si>
  <si>
    <t>238BCA_BP6</t>
  </si>
  <si>
    <t>\\DATA2\WHD\DATA\CA\CRI\Databases\Historical\Current\cri_hist.dmxe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</si>
  <si>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</si>
  <si>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</si>
  <si>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</si>
  <si>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</si>
  <si>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</si>
  <si>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</si>
  <si>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</si>
  <si>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</si>
  <si>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</si>
  <si>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</si>
  <si>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</si>
  <si>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</si>
  <si>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</si>
  <si>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</si>
  <si>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</si>
  <si>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</si>
  <si>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</si>
  <si>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</si>
  <si>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</si>
  <si>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</si>
  <si>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</si>
  <si>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</si>
  <si>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</si>
  <si>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</si>
  <si>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</si>
  <si>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</si>
  <si>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</si>
  <si>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</si>
  <si>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</si>
  <si>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</si>
  <si>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</si>
  <si>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</si>
  <si>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</si>
  <si>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</si>
  <si>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</si>
  <si>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</si>
  <si>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</si>
  <si>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</si>
  <si>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</si>
  <si>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</si>
  <si>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</si>
  <si>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</si>
  <si>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</si>
  <si>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</si>
  <si>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</si>
  <si>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</si>
  <si>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</si>
  <si>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</si>
  <si>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</si>
  <si>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</si>
  <si>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</si>
  <si>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</si>
  <si>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</si>
  <si>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</si>
  <si>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</si>
  <si>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</si>
  <si>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</si>
  <si>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</si>
  <si>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</si>
  <si>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</si>
  <si>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</si>
  <si>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</si>
  <si>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</si>
  <si>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</si>
  <si>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</si>
  <si>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</si>
  <si>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</si>
  <si>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</si>
  <si>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</si>
  <si>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</si>
  <si>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</si>
  <si>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</si>
  <si>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</si>
  <si>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</si>
  <si>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</si>
  <si>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</si>
  <si>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</si>
  <si>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</si>
  <si>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</si>
  <si>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</si>
  <si>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</si>
  <si>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</si>
  <si>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</si>
  <si>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</si>
  <si>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</si>
  <si>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</si>
  <si>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</si>
  <si>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</si>
  <si>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</si>
  <si>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</si>
  <si>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</si>
  <si>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</si>
  <si>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N.A.</t>
  </si>
  <si>
    <t>238NGDP_FREE</t>
  </si>
  <si>
    <t>238PCPI_Q_InternalOnly</t>
  </si>
  <si>
    <t>238NGDP_R_Q</t>
  </si>
  <si>
    <t>238NGDP_R</t>
  </si>
  <si>
    <t>ca</t>
  </si>
  <si>
    <t>cpi</t>
  </si>
  <si>
    <t>238ENDE__InternalOnly</t>
  </si>
  <si>
    <t>238ENDE_Q</t>
  </si>
  <si>
    <t>er</t>
  </si>
  <si>
    <t>N238NGPD@EMERGELA</t>
  </si>
  <si>
    <t>Costa Rica: GDP at Current Prices &amp; Exchange Rates (NSA, Bil.US$)</t>
  </si>
  <si>
    <t>gdp</t>
  </si>
  <si>
    <t>Fecha</t>
  </si>
  <si>
    <t>https://sdd.bccr.fi.cr/es/IndicadoresEconomicos/Inicio/Contenedor/500?Cuadro=373</t>
  </si>
  <si>
    <t>fdi</t>
  </si>
  <si>
    <t>Descriptor</t>
  </si>
  <si>
    <t>National Accounts, Real Expenditure, Gross domestic product</t>
  </si>
  <si>
    <t>National Accounts, Activity, Real GDP at Market Prices</t>
  </si>
  <si>
    <t>Prices, Consumer Price Index, CPI Inflation  (Avg)</t>
  </si>
  <si>
    <t>Balance Of Payments, Current Account, Total, Net</t>
  </si>
  <si>
    <t>Balance of Payments: Current Account: Total: Net</t>
  </si>
  <si>
    <t>Exchange Rates, Bilateral Rates, Exchange Rate (eop), National Currency per US Dollar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</si>
</sst>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mm"/>
    <numFmt numFmtId="165" formatCode="0.0"/>
    <numFmt numFmtId="166" formatCode="0.00000"/>
    <numFmt numFmtId="167" formatCode="0.000"/>
  </numFmts>
  <fonts count="10" x14ac:knownFonts="1">
    <font>
      <sz val="10"/>
      <color theme="1"/>
      <name val="Arial"/>
      <family val="2"/>
    </font>
    <font>
      <sz val="10"/>
      <color rgb="FFFF0000"/>
      <name val="Arial"/>
      <family val="2"/>
    </font>
    <font>
      <u/>
      <sz val="10"/>
      <color theme="10"/>
      <name val="Arial"/>
      <family val="2"/>
    </font>
    <font>
      <b/>
      <sz val="9"/>
      <name val="Aptos Narrow"/>
      <family val="2"/>
      <scheme val="minor"/>
    </font>
    <font>
      <sz val="9"/>
      <name val="Aptos Narrow"/>
      <family val="2"/>
      <scheme val="minor"/>
    </font>
    <font>
      <sz val="10"/>
      <color rgb="FF000000"/>
      <name val="Arial"/>
      <family val="2"/>
    </font>
    <font>
      <b/>
      <sz val="9"/>
      <color rgb="FF000000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8"/>
      <name val="Arial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quotePrefix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2" fillId="0" borderId="0" xfId="1"/>
    <xf numFmtId="49" fontId="3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1" fillId="0" borderId="0" xfId="0" applyFont="1"/>
    <xf numFmtId="0" fontId="5" fillId="0" borderId="0" xfId="0" applyFont="1"/>
    <xf numFmtId="49" fontId="6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0" xfId="0" applyFont="1" applyAlignment="1">
      <alignment horizontal="left"/>
    </xf>
    <xf numFmtId="167" fontId="0" fillId="0" borderId="0" xfId="0" applyNumberFormat="1"/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N238NGDP@EMERGELA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file:///\\DATA2\WHD\DATA\CA\CRI\Databases\Historical\Current\cri_hist.dmxe" TargetMode="External"/><Relationship Id="rId1" Type="http://schemas.openxmlformats.org/officeDocument/2006/relationships/hyperlink" Target="file:///\\DATA2\WHD\DATA\CA\CRI\Databases\Historical\Current\cri_hist.dmxe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E2056-1912-4696-B55A-45E32922D63B}">
  <sheetPr codeName="Sheet1"/>
  <dimension ref="A1:I114"/>
  <sheetViews>
    <sheetView topLeftCell="A90" workbookViewId="0">
      <selection activeCell="H113" sqref="H113"/>
    </sheetView>
  </sheetViews>
  <sheetFormatPr defaultRowHeight="12.5" x14ac:dyDescent="0.25"/>
  <cols>
    <col min="4" max="4" width="10.36328125" bestFit="1" customWidth="1"/>
    <col min="7" max="7" width="9.36328125" bestFit="1" customWidth="1"/>
    <col min="8" max="8" width="9.36328125" customWidth="1"/>
  </cols>
  <sheetData>
    <row r="1" spans="1:9" x14ac:dyDescent="0.25">
      <c r="A1" s="1" t="s">
        <v>5</v>
      </c>
      <c r="B1" s="1" t="s">
        <v>6</v>
      </c>
      <c r="C1" t="s">
        <v>0</v>
      </c>
      <c r="D1" s="6" t="s">
        <v>141</v>
      </c>
      <c r="E1" t="s">
        <v>1</v>
      </c>
      <c r="F1" t="s">
        <v>2</v>
      </c>
      <c r="G1" t="s">
        <v>3</v>
      </c>
      <c r="H1" t="s">
        <v>252</v>
      </c>
      <c r="I1" t="s">
        <v>4</v>
      </c>
    </row>
    <row r="2" spans="1:9" x14ac:dyDescent="0.25">
      <c r="A2" t="s">
        <v>119</v>
      </c>
      <c r="C2" t="s">
        <v>125</v>
      </c>
      <c r="D2" t="s">
        <v>143</v>
      </c>
      <c r="E2" t="s">
        <v>131</v>
      </c>
      <c r="F2" t="s">
        <v>133</v>
      </c>
      <c r="G2" t="s">
        <v>136</v>
      </c>
      <c r="H2" t="s">
        <v>253</v>
      </c>
      <c r="I2" t="s">
        <v>140</v>
      </c>
    </row>
    <row r="3" spans="1:9" x14ac:dyDescent="0.25">
      <c r="A3" t="s">
        <v>118</v>
      </c>
      <c r="C3" t="s">
        <v>124</v>
      </c>
      <c r="D3" t="s">
        <v>124</v>
      </c>
      <c r="E3" t="s">
        <v>130</v>
      </c>
      <c r="F3" t="s">
        <v>124</v>
      </c>
      <c r="G3" t="s">
        <v>135</v>
      </c>
      <c r="H3" t="s">
        <v>130</v>
      </c>
      <c r="I3" t="s">
        <v>139</v>
      </c>
    </row>
    <row r="4" spans="1:9" x14ac:dyDescent="0.25">
      <c r="A4" t="s">
        <v>117</v>
      </c>
      <c r="C4" t="s">
        <v>123</v>
      </c>
      <c r="D4" t="s">
        <v>123</v>
      </c>
      <c r="E4" t="s">
        <v>129</v>
      </c>
      <c r="F4" t="s">
        <v>129</v>
      </c>
      <c r="G4" t="s">
        <v>129</v>
      </c>
      <c r="H4" t="s">
        <v>123</v>
      </c>
      <c r="I4" t="s">
        <v>129</v>
      </c>
    </row>
    <row r="5" spans="1:9" x14ac:dyDescent="0.25">
      <c r="A5" t="s">
        <v>116</v>
      </c>
      <c r="C5" t="s">
        <v>122</v>
      </c>
      <c r="D5" t="s">
        <v>142</v>
      </c>
      <c r="E5" t="s">
        <v>128</v>
      </c>
      <c r="F5" t="s">
        <v>132</v>
      </c>
      <c r="G5" t="s">
        <v>134</v>
      </c>
      <c r="H5" t="s">
        <v>142</v>
      </c>
      <c r="I5" t="s">
        <v>138</v>
      </c>
    </row>
    <row r="6" spans="1:9" x14ac:dyDescent="0.25">
      <c r="A6" t="s">
        <v>115</v>
      </c>
      <c r="C6" t="s">
        <v>121</v>
      </c>
      <c r="D6" t="s">
        <v>121</v>
      </c>
      <c r="E6" t="s">
        <v>121</v>
      </c>
      <c r="F6" t="s">
        <v>126</v>
      </c>
      <c r="G6" t="s">
        <v>126</v>
      </c>
      <c r="H6" t="s">
        <v>121</v>
      </c>
      <c r="I6" t="s">
        <v>121</v>
      </c>
    </row>
    <row r="7" spans="1:9" x14ac:dyDescent="0.25">
      <c r="A7" t="s">
        <v>114</v>
      </c>
      <c r="C7" t="s">
        <v>120</v>
      </c>
      <c r="D7" t="s">
        <v>120</v>
      </c>
      <c r="E7" t="s">
        <v>127</v>
      </c>
      <c r="F7" t="s">
        <v>127</v>
      </c>
      <c r="G7" t="s">
        <v>127</v>
      </c>
      <c r="H7" t="s">
        <v>137</v>
      </c>
      <c r="I7" t="s">
        <v>137</v>
      </c>
    </row>
    <row r="8" spans="1:9" x14ac:dyDescent="0.25">
      <c r="A8" t="s">
        <v>7</v>
      </c>
      <c r="B8" s="2">
        <v>36616</v>
      </c>
      <c r="C8" s="3">
        <v>234</v>
      </c>
      <c r="D8" s="3">
        <v>1153308.2</v>
      </c>
      <c r="E8" s="4">
        <v>109.97</v>
      </c>
      <c r="F8" s="4">
        <v>100.68666666666667</v>
      </c>
      <c r="G8" s="5">
        <v>25.513316666666668</v>
      </c>
      <c r="H8" s="15">
        <v>3.8359999999999999</v>
      </c>
      <c r="I8" s="3">
        <v>13878.1</v>
      </c>
    </row>
    <row r="9" spans="1:9" x14ac:dyDescent="0.25">
      <c r="A9" t="s">
        <v>8</v>
      </c>
      <c r="B9" s="2">
        <v>36707</v>
      </c>
      <c r="C9" s="3">
        <v>214.9</v>
      </c>
      <c r="D9" s="3">
        <v>1072469.5</v>
      </c>
      <c r="E9" s="4">
        <v>118.66</v>
      </c>
      <c r="F9" s="4">
        <v>101.16666666666667</v>
      </c>
      <c r="G9" s="5">
        <v>25.762810000000002</v>
      </c>
      <c r="H9" s="15">
        <v>3.51</v>
      </c>
      <c r="I9" s="3">
        <v>14130.9</v>
      </c>
    </row>
    <row r="10" spans="1:9" x14ac:dyDescent="0.25">
      <c r="A10" t="s">
        <v>9</v>
      </c>
      <c r="B10" s="2">
        <v>36799</v>
      </c>
      <c r="C10" s="3">
        <v>129.6</v>
      </c>
      <c r="D10" s="3">
        <v>1134741.2</v>
      </c>
      <c r="E10" s="4">
        <v>118.27</v>
      </c>
      <c r="F10" s="4">
        <v>100.25666666666666</v>
      </c>
      <c r="G10" s="5">
        <v>26.479043333333333</v>
      </c>
      <c r="H10" s="15">
        <v>3.6539999999999999</v>
      </c>
      <c r="I10" s="3">
        <v>14145.3</v>
      </c>
    </row>
    <row r="11" spans="1:9" x14ac:dyDescent="0.25">
      <c r="A11" t="s">
        <v>10</v>
      </c>
      <c r="B11" s="2">
        <v>36891</v>
      </c>
      <c r="C11" s="3">
        <v>144.9</v>
      </c>
      <c r="D11" s="3">
        <v>1266531.7</v>
      </c>
      <c r="E11" s="4">
        <v>123.85</v>
      </c>
      <c r="F11" s="4">
        <v>99.589999999999989</v>
      </c>
      <c r="G11" s="5">
        <v>27.025066666666664</v>
      </c>
      <c r="H11" s="15">
        <v>4.0129999999999999</v>
      </c>
      <c r="I11" s="3">
        <v>14229.8</v>
      </c>
    </row>
    <row r="12" spans="1:9" x14ac:dyDescent="0.25">
      <c r="A12" t="s">
        <v>11</v>
      </c>
      <c r="B12" s="2">
        <v>36981</v>
      </c>
      <c r="C12" s="3">
        <v>305.60000000000002</v>
      </c>
      <c r="D12" s="3">
        <v>1289948.6000000001</v>
      </c>
      <c r="E12" s="4">
        <v>112.09</v>
      </c>
      <c r="F12" s="4">
        <v>98.586666666666659</v>
      </c>
      <c r="G12" s="5">
        <v>28.061436666666665</v>
      </c>
      <c r="H12" s="15">
        <v>4.0250000000000004</v>
      </c>
      <c r="I12" s="3">
        <v>14183.1</v>
      </c>
    </row>
    <row r="13" spans="1:9" x14ac:dyDescent="0.25">
      <c r="A13" t="s">
        <v>12</v>
      </c>
      <c r="B13" s="2">
        <v>37072</v>
      </c>
      <c r="C13" s="3">
        <v>80.7</v>
      </c>
      <c r="D13" s="3">
        <v>1236938.3999999999</v>
      </c>
      <c r="E13" s="4">
        <v>119.6</v>
      </c>
      <c r="F13" s="4">
        <v>97.053333333333327</v>
      </c>
      <c r="G13" s="5">
        <v>29.002943333333334</v>
      </c>
      <c r="H13" s="15">
        <v>3.8010000000000002</v>
      </c>
      <c r="I13" s="3">
        <v>14271.7</v>
      </c>
    </row>
    <row r="14" spans="1:9" x14ac:dyDescent="0.25">
      <c r="A14" t="s">
        <v>13</v>
      </c>
      <c r="B14" s="2">
        <v>37164</v>
      </c>
      <c r="C14" s="3">
        <v>111.6</v>
      </c>
      <c r="D14" s="3">
        <v>1289345.8</v>
      </c>
      <c r="E14" s="4">
        <v>118.64</v>
      </c>
      <c r="F14" s="4">
        <v>97.543333333333337</v>
      </c>
      <c r="G14" s="5">
        <v>29.51492</v>
      </c>
      <c r="H14" s="15">
        <v>3.895</v>
      </c>
      <c r="I14" s="3">
        <v>14214.5</v>
      </c>
    </row>
    <row r="15" spans="1:9" x14ac:dyDescent="0.25">
      <c r="A15" t="s">
        <v>14</v>
      </c>
      <c r="B15" s="2">
        <v>37256</v>
      </c>
      <c r="C15" s="3">
        <v>124</v>
      </c>
      <c r="D15" s="3">
        <v>1437851.7</v>
      </c>
      <c r="E15" s="4">
        <v>121.02</v>
      </c>
      <c r="F15" s="4">
        <v>97.86666666666666</v>
      </c>
      <c r="G15" s="5">
        <v>29.994963333333331</v>
      </c>
      <c r="H15" s="15">
        <v>4.2549999999999999</v>
      </c>
      <c r="I15" s="3">
        <v>14253.6</v>
      </c>
    </row>
    <row r="16" spans="1:9" x14ac:dyDescent="0.25">
      <c r="A16" t="s">
        <v>15</v>
      </c>
      <c r="B16" s="2">
        <v>37346</v>
      </c>
      <c r="C16" s="3">
        <v>279.3</v>
      </c>
      <c r="D16" s="3">
        <v>1432910.3</v>
      </c>
      <c r="E16" s="4">
        <v>112.61</v>
      </c>
      <c r="F16" s="4">
        <v>97.553333333333327</v>
      </c>
      <c r="G16" s="5">
        <v>30.812389999999997</v>
      </c>
      <c r="H16" s="15">
        <v>4.1440000000000001</v>
      </c>
      <c r="I16" s="3">
        <v>14372.8</v>
      </c>
    </row>
    <row r="17" spans="1:9" x14ac:dyDescent="0.25">
      <c r="A17" t="s">
        <v>16</v>
      </c>
      <c r="B17" s="2">
        <v>37437</v>
      </c>
      <c r="C17" s="3">
        <v>65</v>
      </c>
      <c r="D17" s="3">
        <v>1429472</v>
      </c>
      <c r="E17" s="4">
        <v>115.86</v>
      </c>
      <c r="F17" s="4">
        <v>100.28666666666668</v>
      </c>
      <c r="G17" s="5">
        <v>31.268833333333333</v>
      </c>
      <c r="H17" s="15">
        <v>4.03</v>
      </c>
      <c r="I17" s="3">
        <v>14460.8</v>
      </c>
    </row>
    <row r="18" spans="1:9" x14ac:dyDescent="0.25">
      <c r="A18" t="s">
        <v>17</v>
      </c>
      <c r="B18" s="2">
        <v>37529</v>
      </c>
      <c r="C18" s="3">
        <v>114.5</v>
      </c>
      <c r="D18" s="3">
        <v>1474364.9</v>
      </c>
      <c r="E18" s="4">
        <v>113.99</v>
      </c>
      <c r="F18" s="4">
        <v>101.14333333333333</v>
      </c>
      <c r="G18" s="5">
        <v>32.223010000000002</v>
      </c>
      <c r="H18" s="15">
        <v>4.048</v>
      </c>
      <c r="I18" s="3">
        <v>14519.6</v>
      </c>
    </row>
    <row r="19" spans="1:9" x14ac:dyDescent="0.25">
      <c r="A19" t="s">
        <v>18</v>
      </c>
      <c r="B19" s="2">
        <v>37621</v>
      </c>
      <c r="C19" s="3">
        <v>264.3</v>
      </c>
      <c r="D19" s="3">
        <v>1628644.1</v>
      </c>
      <c r="E19" s="4">
        <v>116.94</v>
      </c>
      <c r="F19" s="4">
        <v>101.71</v>
      </c>
      <c r="G19" s="5">
        <v>32.956363333333336</v>
      </c>
      <c r="H19" s="15">
        <v>4.3570000000000002</v>
      </c>
      <c r="I19" s="3">
        <v>14537.6</v>
      </c>
    </row>
    <row r="20" spans="1:9" x14ac:dyDescent="0.25">
      <c r="A20" t="s">
        <v>19</v>
      </c>
      <c r="B20" s="2">
        <v>37711</v>
      </c>
      <c r="C20" s="3">
        <v>177.5</v>
      </c>
      <c r="D20" s="3">
        <v>1659563.1</v>
      </c>
      <c r="E20" s="4">
        <v>107.54</v>
      </c>
      <c r="F20" s="4">
        <v>103.81333333333333</v>
      </c>
      <c r="G20" s="5">
        <v>33.704966666666671</v>
      </c>
      <c r="H20" s="15">
        <v>4.3280000000000003</v>
      </c>
      <c r="I20" s="3">
        <v>14614.1</v>
      </c>
    </row>
    <row r="21" spans="1:9" x14ac:dyDescent="0.25">
      <c r="A21" t="s">
        <v>20</v>
      </c>
      <c r="B21" s="2">
        <v>37802</v>
      </c>
      <c r="C21" s="3">
        <v>297.8</v>
      </c>
      <c r="D21" s="3">
        <v>1623780.1</v>
      </c>
      <c r="E21" s="4">
        <v>113.68</v>
      </c>
      <c r="F21" s="4">
        <v>105.63666666666666</v>
      </c>
      <c r="G21" s="5">
        <v>34.464739999999999</v>
      </c>
      <c r="H21" s="15">
        <v>4.1289999999999996</v>
      </c>
      <c r="I21" s="3">
        <v>14743.6</v>
      </c>
    </row>
    <row r="22" spans="1:9" x14ac:dyDescent="0.25">
      <c r="A22" t="s">
        <v>21</v>
      </c>
      <c r="B22" s="2">
        <v>37894</v>
      </c>
      <c r="C22" s="3">
        <v>74.099999999999994</v>
      </c>
      <c r="D22" s="3">
        <v>1692311.4</v>
      </c>
      <c r="E22" s="4">
        <v>114.56</v>
      </c>
      <c r="F22" s="4">
        <v>106.72000000000001</v>
      </c>
      <c r="G22" s="5">
        <v>35.068760000000005</v>
      </c>
      <c r="H22" s="15">
        <v>4.1959999999999997</v>
      </c>
      <c r="I22" s="3">
        <v>14988.8</v>
      </c>
    </row>
    <row r="23" spans="1:9" x14ac:dyDescent="0.25">
      <c r="A23" t="s">
        <v>22</v>
      </c>
      <c r="B23" s="2">
        <v>37986</v>
      </c>
      <c r="C23" s="3">
        <v>225</v>
      </c>
      <c r="D23" s="3">
        <v>1909905.5</v>
      </c>
      <c r="E23" s="4">
        <v>116.35</v>
      </c>
      <c r="F23" s="4">
        <v>107.56333333333335</v>
      </c>
      <c r="G23" s="5">
        <v>36.045296666666665</v>
      </c>
      <c r="H23" s="15">
        <v>4.6180000000000003</v>
      </c>
      <c r="I23" s="3">
        <v>15162.8</v>
      </c>
    </row>
    <row r="24" spans="1:9" x14ac:dyDescent="0.25">
      <c r="A24" t="s">
        <v>23</v>
      </c>
      <c r="B24" s="2">
        <v>38077</v>
      </c>
      <c r="C24" s="3">
        <v>270</v>
      </c>
      <c r="D24" s="3">
        <v>1936783.9</v>
      </c>
      <c r="E24" s="4">
        <v>107.15</v>
      </c>
      <c r="F24" s="4">
        <v>107.68</v>
      </c>
      <c r="G24" s="5">
        <v>37.514803333333333</v>
      </c>
      <c r="H24" s="15">
        <v>4.58</v>
      </c>
      <c r="I24" s="3">
        <v>15248.7</v>
      </c>
    </row>
    <row r="25" spans="1:9" x14ac:dyDescent="0.25">
      <c r="A25" t="s">
        <v>24</v>
      </c>
      <c r="B25" s="2">
        <v>38168</v>
      </c>
      <c r="C25" s="3">
        <v>365.9</v>
      </c>
      <c r="D25" s="3">
        <v>1940528.5</v>
      </c>
      <c r="E25" s="4">
        <v>110.5</v>
      </c>
      <c r="F25" s="4">
        <v>108.02</v>
      </c>
      <c r="G25" s="5">
        <v>38.44278666666667</v>
      </c>
      <c r="H25" s="15">
        <v>4.4889999999999999</v>
      </c>
      <c r="I25" s="3">
        <v>15366.9</v>
      </c>
    </row>
    <row r="26" spans="1:9" x14ac:dyDescent="0.25">
      <c r="A26" t="s">
        <v>25</v>
      </c>
      <c r="B26" s="2">
        <v>38260</v>
      </c>
      <c r="C26" s="3">
        <v>237.4</v>
      </c>
      <c r="D26" s="3">
        <v>2014196.9</v>
      </c>
      <c r="E26" s="4">
        <v>110.81</v>
      </c>
      <c r="F26" s="4">
        <v>107.90333333333332</v>
      </c>
      <c r="G26" s="5">
        <v>39.659983333333336</v>
      </c>
      <c r="H26" s="15">
        <v>4.5549999999999997</v>
      </c>
      <c r="I26" s="3">
        <v>15512.6</v>
      </c>
    </row>
    <row r="27" spans="1:9" x14ac:dyDescent="0.25">
      <c r="A27" t="s">
        <v>26</v>
      </c>
      <c r="B27" s="2">
        <v>38352</v>
      </c>
      <c r="C27" s="3">
        <v>210.4</v>
      </c>
      <c r="D27" s="3">
        <v>2258628.4</v>
      </c>
      <c r="E27" s="4">
        <v>111.8</v>
      </c>
      <c r="F27" s="4">
        <v>109.5</v>
      </c>
      <c r="G27" s="5">
        <v>40.819166666666668</v>
      </c>
      <c r="H27" s="15">
        <v>4.9870000000000001</v>
      </c>
      <c r="I27" s="3">
        <v>15670.9</v>
      </c>
    </row>
    <row r="28" spans="1:9" x14ac:dyDescent="0.25">
      <c r="A28" t="s">
        <v>27</v>
      </c>
      <c r="B28" s="2">
        <v>38442</v>
      </c>
      <c r="C28" s="3">
        <v>500</v>
      </c>
      <c r="D28" s="3">
        <v>2262839.1</v>
      </c>
      <c r="E28" s="4">
        <v>102.76</v>
      </c>
      <c r="F28" s="4">
        <v>108.89999999999999</v>
      </c>
      <c r="G28" s="5">
        <v>42.544686666666671</v>
      </c>
      <c r="H28" s="15">
        <v>4.883</v>
      </c>
      <c r="I28" s="3">
        <v>15844.7</v>
      </c>
    </row>
    <row r="29" spans="1:9" x14ac:dyDescent="0.25">
      <c r="A29" t="s">
        <v>28</v>
      </c>
      <c r="B29" s="2">
        <v>38533</v>
      </c>
      <c r="C29" s="3">
        <v>385.6</v>
      </c>
      <c r="D29" s="3">
        <v>2266486.2999999998</v>
      </c>
      <c r="E29" s="4">
        <v>108.12</v>
      </c>
      <c r="F29" s="4">
        <v>108.74000000000001</v>
      </c>
      <c r="G29" s="5">
        <v>43.809640000000002</v>
      </c>
      <c r="H29" s="15">
        <v>4.7949999999999999</v>
      </c>
      <c r="I29" s="3">
        <v>15922.8</v>
      </c>
    </row>
    <row r="30" spans="1:9" x14ac:dyDescent="0.25">
      <c r="A30" t="s">
        <v>29</v>
      </c>
      <c r="B30" s="2">
        <v>38625</v>
      </c>
      <c r="C30" s="3">
        <v>279</v>
      </c>
      <c r="D30" s="3">
        <v>2394498</v>
      </c>
      <c r="E30" s="4">
        <v>106.42</v>
      </c>
      <c r="F30" s="4">
        <v>108.46999999999998</v>
      </c>
      <c r="G30" s="5">
        <v>45.10601333333333</v>
      </c>
      <c r="H30" s="15">
        <v>4.9660000000000002</v>
      </c>
      <c r="I30" s="3">
        <v>16047.6</v>
      </c>
    </row>
    <row r="31" spans="1:9" x14ac:dyDescent="0.25">
      <c r="A31" t="s">
        <v>30</v>
      </c>
      <c r="B31" s="2">
        <v>38717</v>
      </c>
      <c r="C31" s="3">
        <v>364.2</v>
      </c>
      <c r="D31" s="3">
        <v>2653198.7999999998</v>
      </c>
      <c r="E31" s="4">
        <v>108.79</v>
      </c>
      <c r="F31" s="4">
        <v>107.39333333333333</v>
      </c>
      <c r="G31" s="5">
        <v>46.561159999999994</v>
      </c>
      <c r="H31" s="15">
        <v>5.3970000000000002</v>
      </c>
      <c r="I31" s="3">
        <v>16136.7</v>
      </c>
    </row>
    <row r="32" spans="1:9" x14ac:dyDescent="0.25">
      <c r="A32" t="s">
        <v>31</v>
      </c>
      <c r="B32" s="2">
        <v>38807</v>
      </c>
      <c r="C32" s="3">
        <v>431.6</v>
      </c>
      <c r="D32" s="3">
        <v>2718340.5</v>
      </c>
      <c r="E32" s="4">
        <v>105.31</v>
      </c>
      <c r="F32" s="4">
        <v>107.14333333333333</v>
      </c>
      <c r="G32" s="5">
        <v>47.985476666666671</v>
      </c>
      <c r="H32" s="15">
        <v>5.4279999999999999</v>
      </c>
      <c r="I32" s="3">
        <v>16353.8</v>
      </c>
    </row>
    <row r="33" spans="1:9" x14ac:dyDescent="0.25">
      <c r="A33" t="s">
        <v>32</v>
      </c>
      <c r="B33" s="2">
        <v>38898</v>
      </c>
      <c r="C33" s="3">
        <v>378.6</v>
      </c>
      <c r="D33" s="3">
        <v>2744074.2</v>
      </c>
      <c r="E33" s="4">
        <v>104.65</v>
      </c>
      <c r="F33" s="4">
        <v>108.33999999999999</v>
      </c>
      <c r="G33" s="5">
        <v>49.055056666666665</v>
      </c>
      <c r="H33" s="15">
        <v>5.3949999999999996</v>
      </c>
      <c r="I33" s="3">
        <v>16396.2</v>
      </c>
    </row>
    <row r="34" spans="1:9" x14ac:dyDescent="0.25">
      <c r="A34" t="s">
        <v>33</v>
      </c>
      <c r="B34" s="2">
        <v>38990</v>
      </c>
      <c r="C34" s="3">
        <v>664.1</v>
      </c>
      <c r="D34" s="3">
        <v>2889183.2</v>
      </c>
      <c r="E34" s="4">
        <v>101.14</v>
      </c>
      <c r="F34" s="4">
        <v>108.03333333333332</v>
      </c>
      <c r="G34" s="5">
        <v>50.349449999999997</v>
      </c>
      <c r="H34" s="15">
        <v>5.5919999999999996</v>
      </c>
      <c r="I34" s="3">
        <v>16420.7</v>
      </c>
    </row>
    <row r="35" spans="1:9" x14ac:dyDescent="0.25">
      <c r="A35" t="s">
        <v>34</v>
      </c>
      <c r="B35" s="2">
        <v>39082</v>
      </c>
      <c r="C35" s="3">
        <v>326.7</v>
      </c>
      <c r="D35" s="3">
        <v>3261722.1</v>
      </c>
      <c r="E35" s="4">
        <v>101.81</v>
      </c>
      <c r="F35" s="4">
        <v>106.99333333333334</v>
      </c>
      <c r="G35" s="5">
        <v>51.05193666666667</v>
      </c>
      <c r="H35" s="15">
        <v>6.3010000000000002</v>
      </c>
      <c r="I35" s="3">
        <v>16561.900000000001</v>
      </c>
    </row>
    <row r="36" spans="1:9" x14ac:dyDescent="0.25">
      <c r="A36" t="s">
        <v>35</v>
      </c>
      <c r="B36" s="2">
        <v>39172</v>
      </c>
      <c r="C36" s="3">
        <v>663.9</v>
      </c>
      <c r="D36" s="3">
        <v>3308968.3</v>
      </c>
      <c r="E36" s="4">
        <v>101.33</v>
      </c>
      <c r="F36" s="4">
        <v>106.03000000000002</v>
      </c>
      <c r="G36" s="5">
        <v>52.308646666666668</v>
      </c>
      <c r="H36" s="15">
        <v>6.3769999999999998</v>
      </c>
      <c r="I36" s="3">
        <v>16611.7</v>
      </c>
    </row>
    <row r="37" spans="1:9" x14ac:dyDescent="0.25">
      <c r="A37" t="s">
        <v>36</v>
      </c>
      <c r="B37" s="2">
        <v>39263</v>
      </c>
      <c r="C37" s="3">
        <v>716.4</v>
      </c>
      <c r="D37" s="3">
        <v>3309037.1</v>
      </c>
      <c r="E37" s="4">
        <v>98.7</v>
      </c>
      <c r="F37" s="4">
        <v>105.89999999999999</v>
      </c>
      <c r="G37" s="5">
        <v>53.578569999999992</v>
      </c>
      <c r="H37" s="15">
        <v>6.3760000000000003</v>
      </c>
      <c r="I37" s="3">
        <v>16713.3</v>
      </c>
    </row>
    <row r="38" spans="1:9" x14ac:dyDescent="0.25">
      <c r="A38" t="s">
        <v>37</v>
      </c>
      <c r="B38" s="2">
        <v>39355</v>
      </c>
      <c r="C38" s="3">
        <v>423.7</v>
      </c>
      <c r="D38" s="3">
        <v>3445629.6</v>
      </c>
      <c r="E38" s="4">
        <v>98.36</v>
      </c>
      <c r="F38" s="4">
        <v>104.63</v>
      </c>
      <c r="G38" s="5">
        <v>54.838236666666667</v>
      </c>
      <c r="H38" s="15">
        <v>6.641</v>
      </c>
      <c r="I38" s="3">
        <v>16809.599999999999</v>
      </c>
    </row>
    <row r="39" spans="1:9" x14ac:dyDescent="0.25">
      <c r="A39" t="s">
        <v>38</v>
      </c>
      <c r="B39" s="2">
        <v>39447</v>
      </c>
      <c r="C39" s="3">
        <v>437.6</v>
      </c>
      <c r="D39" s="3">
        <v>3825417.9</v>
      </c>
      <c r="E39" s="4">
        <v>99.76</v>
      </c>
      <c r="F39" s="4">
        <v>102.95</v>
      </c>
      <c r="G39" s="5">
        <v>56.284743333333331</v>
      </c>
      <c r="H39" s="15">
        <v>7.4909999999999997</v>
      </c>
      <c r="I39" s="3">
        <v>16915.2</v>
      </c>
    </row>
    <row r="40" spans="1:9" x14ac:dyDescent="0.25">
      <c r="A40" t="s">
        <v>39</v>
      </c>
      <c r="B40" s="2">
        <v>39538</v>
      </c>
      <c r="C40" s="3">
        <v>724</v>
      </c>
      <c r="D40" s="3">
        <v>3893539</v>
      </c>
      <c r="E40" s="4">
        <v>91.24</v>
      </c>
      <c r="F40" s="4">
        <v>99.75333333333333</v>
      </c>
      <c r="G40" s="5">
        <v>58.062463333333334</v>
      </c>
      <c r="H40" s="15">
        <v>7.8390000000000004</v>
      </c>
      <c r="I40" s="3">
        <v>16843</v>
      </c>
    </row>
    <row r="41" spans="1:9" x14ac:dyDescent="0.25">
      <c r="A41" t="s">
        <v>40</v>
      </c>
      <c r="B41" s="2">
        <v>39629</v>
      </c>
      <c r="C41" s="3">
        <v>828.2</v>
      </c>
      <c r="D41" s="3">
        <v>3962268.6</v>
      </c>
      <c r="E41" s="4">
        <v>88.76</v>
      </c>
      <c r="F41" s="4">
        <v>102.14333333333333</v>
      </c>
      <c r="G41" s="5">
        <v>59.94994333333333</v>
      </c>
      <c r="H41" s="15">
        <v>7.7910000000000004</v>
      </c>
      <c r="I41" s="3">
        <v>16943.3</v>
      </c>
    </row>
    <row r="42" spans="1:9" x14ac:dyDescent="0.25">
      <c r="A42" t="s">
        <v>41</v>
      </c>
      <c r="B42" s="2">
        <v>39721</v>
      </c>
      <c r="C42" s="3">
        <v>393.6</v>
      </c>
      <c r="D42" s="3">
        <v>4020458.2</v>
      </c>
      <c r="E42" s="4">
        <v>94.69</v>
      </c>
      <c r="F42" s="4">
        <v>104.89333333333333</v>
      </c>
      <c r="G42" s="5">
        <v>63.127943333333342</v>
      </c>
      <c r="H42" s="15">
        <v>7.34</v>
      </c>
      <c r="I42" s="3">
        <v>16854.3</v>
      </c>
    </row>
    <row r="43" spans="1:9" x14ac:dyDescent="0.25">
      <c r="A43" t="s">
        <v>42</v>
      </c>
      <c r="B43" s="2">
        <v>39813</v>
      </c>
      <c r="C43" s="3">
        <v>490.3</v>
      </c>
      <c r="D43" s="3">
        <v>4332708.9000000004</v>
      </c>
      <c r="E43" s="4">
        <v>109.5</v>
      </c>
      <c r="F43" s="4">
        <v>97.053333333333342</v>
      </c>
      <c r="G43" s="5">
        <v>65.002703333333329</v>
      </c>
      <c r="H43" s="15">
        <v>7.8330000000000002</v>
      </c>
      <c r="I43" s="3">
        <v>16485.400000000001</v>
      </c>
    </row>
    <row r="44" spans="1:9" x14ac:dyDescent="0.25">
      <c r="A44" t="s">
        <v>43</v>
      </c>
      <c r="B44" s="2">
        <v>39903</v>
      </c>
      <c r="C44" s="3">
        <v>643.9</v>
      </c>
      <c r="D44" s="3">
        <v>4222834</v>
      </c>
      <c r="E44" s="4">
        <v>105.13</v>
      </c>
      <c r="F44" s="4">
        <v>96.436666666666653</v>
      </c>
      <c r="G44" s="5">
        <v>65.525829999999999</v>
      </c>
      <c r="H44" s="15">
        <v>7.52</v>
      </c>
      <c r="I44" s="3">
        <v>16298.3</v>
      </c>
    </row>
    <row r="45" spans="1:9" x14ac:dyDescent="0.25">
      <c r="A45" t="s">
        <v>44</v>
      </c>
      <c r="B45" s="2">
        <v>39994</v>
      </c>
      <c r="C45" s="3">
        <v>183.8</v>
      </c>
      <c r="D45" s="3">
        <v>4220985.4000000004</v>
      </c>
      <c r="E45" s="4">
        <v>101.18</v>
      </c>
      <c r="F45" s="4">
        <v>100.2</v>
      </c>
      <c r="G45" s="5">
        <v>65.827366666666663</v>
      </c>
      <c r="H45" s="15">
        <v>7.3559999999999999</v>
      </c>
      <c r="I45" s="3">
        <v>16269.1</v>
      </c>
    </row>
    <row r="46" spans="1:9" x14ac:dyDescent="0.25">
      <c r="A46" t="s">
        <v>45</v>
      </c>
      <c r="B46" s="2">
        <v>40086</v>
      </c>
      <c r="C46" s="3">
        <v>242.8</v>
      </c>
      <c r="D46" s="3">
        <v>4379060.4000000004</v>
      </c>
      <c r="E46" s="4">
        <v>100.1</v>
      </c>
      <c r="F46" s="4">
        <v>102.49333333333334</v>
      </c>
      <c r="G46" s="5">
        <v>66.793506666666659</v>
      </c>
      <c r="H46" s="15">
        <v>7.4820000000000002</v>
      </c>
      <c r="I46" s="3">
        <v>16326.3</v>
      </c>
    </row>
    <row r="47" spans="1:9" x14ac:dyDescent="0.25">
      <c r="A47" t="s">
        <v>46</v>
      </c>
      <c r="B47" s="2">
        <v>40178</v>
      </c>
      <c r="C47" s="3">
        <v>544.1</v>
      </c>
      <c r="D47" s="3">
        <v>4803268</v>
      </c>
      <c r="E47" s="4">
        <v>105.11</v>
      </c>
      <c r="F47" s="4">
        <v>100.86666666666667</v>
      </c>
      <c r="G47" s="5">
        <v>67.300750000000008</v>
      </c>
      <c r="H47" s="15">
        <v>8.3889999999999993</v>
      </c>
      <c r="I47" s="3">
        <v>16502.8</v>
      </c>
    </row>
    <row r="48" spans="1:9" x14ac:dyDescent="0.25">
      <c r="A48" t="s">
        <v>47</v>
      </c>
      <c r="B48" s="2">
        <v>40268</v>
      </c>
      <c r="C48" s="3">
        <v>526.9</v>
      </c>
      <c r="D48" s="3">
        <v>4906819.8</v>
      </c>
      <c r="E48" s="4">
        <v>99.44</v>
      </c>
      <c r="F48" s="4">
        <v>94.673333333333332</v>
      </c>
      <c r="G48" s="5">
        <v>69.192053333333334</v>
      </c>
      <c r="H48" s="15">
        <v>8.8789999999999996</v>
      </c>
      <c r="I48" s="3">
        <v>16582.7</v>
      </c>
    </row>
    <row r="49" spans="1:9" x14ac:dyDescent="0.25">
      <c r="A49" t="s">
        <v>48</v>
      </c>
      <c r="B49" s="2">
        <v>40359</v>
      </c>
      <c r="C49" s="3">
        <v>496.5</v>
      </c>
      <c r="D49" s="3">
        <v>4792285.3</v>
      </c>
      <c r="E49" s="4">
        <v>101.7</v>
      </c>
      <c r="F49" s="4">
        <v>89.146666666666661</v>
      </c>
      <c r="G49" s="5">
        <v>69.799126666666666</v>
      </c>
      <c r="H49" s="15">
        <v>9.0909999999999993</v>
      </c>
      <c r="I49" s="3">
        <v>16743.2</v>
      </c>
    </row>
    <row r="50" spans="1:9" x14ac:dyDescent="0.25">
      <c r="A50" t="s">
        <v>49</v>
      </c>
      <c r="B50" s="2">
        <v>40451</v>
      </c>
      <c r="C50" s="3">
        <v>380.3</v>
      </c>
      <c r="D50" s="3">
        <v>4860563.3</v>
      </c>
      <c r="E50" s="4">
        <v>101.52</v>
      </c>
      <c r="F50" s="4">
        <v>87.426666666666677</v>
      </c>
      <c r="G50" s="5">
        <v>70.330493333333337</v>
      </c>
      <c r="H50" s="15">
        <v>9.4179999999999993</v>
      </c>
      <c r="I50" s="3">
        <v>16872.3</v>
      </c>
    </row>
    <row r="51" spans="1:9" x14ac:dyDescent="0.25">
      <c r="A51" t="s">
        <v>50</v>
      </c>
      <c r="B51" s="2">
        <v>40543</v>
      </c>
      <c r="C51" s="3">
        <v>503.3</v>
      </c>
      <c r="D51" s="3">
        <v>5242342.0999999996</v>
      </c>
      <c r="E51" s="4">
        <v>107.63</v>
      </c>
      <c r="F51" s="4">
        <v>87.333333333333329</v>
      </c>
      <c r="G51" s="5">
        <v>71.157143333333337</v>
      </c>
      <c r="H51" s="15">
        <v>10.271000000000001</v>
      </c>
      <c r="I51" s="3">
        <v>16960.900000000001</v>
      </c>
    </row>
    <row r="52" spans="1:9" x14ac:dyDescent="0.25">
      <c r="A52" t="s">
        <v>51</v>
      </c>
      <c r="B52" s="2">
        <v>40633</v>
      </c>
      <c r="C52" s="3">
        <v>771.8</v>
      </c>
      <c r="D52" s="3">
        <v>5236196.8</v>
      </c>
      <c r="E52" s="4">
        <v>97.95</v>
      </c>
      <c r="F52" s="4">
        <v>86.26</v>
      </c>
      <c r="G52" s="5">
        <v>72.419016666666664</v>
      </c>
      <c r="H52" s="15">
        <v>10.407999999999999</v>
      </c>
      <c r="I52" s="3">
        <v>16920.599999999999</v>
      </c>
    </row>
    <row r="53" spans="1:9" x14ac:dyDescent="0.25">
      <c r="A53" t="s">
        <v>52</v>
      </c>
      <c r="B53" s="2">
        <v>40724</v>
      </c>
      <c r="C53" s="3">
        <v>757.2</v>
      </c>
      <c r="D53" s="3">
        <v>5185635.5</v>
      </c>
      <c r="E53" s="4">
        <v>96.12</v>
      </c>
      <c r="F53" s="4">
        <v>87.626666666666665</v>
      </c>
      <c r="G53" s="5">
        <v>73.220399999999998</v>
      </c>
      <c r="H53" s="15">
        <v>10.314</v>
      </c>
      <c r="I53" s="3">
        <v>17035.099999999999</v>
      </c>
    </row>
    <row r="54" spans="1:9" x14ac:dyDescent="0.25">
      <c r="A54" t="s">
        <v>53</v>
      </c>
      <c r="B54" s="2">
        <v>40816</v>
      </c>
      <c r="C54" s="3">
        <v>457.9</v>
      </c>
      <c r="D54" s="3">
        <v>5301300.7</v>
      </c>
      <c r="E54" s="4">
        <v>96.58</v>
      </c>
      <c r="F54" s="4">
        <v>87.636666666666656</v>
      </c>
      <c r="G54" s="5">
        <v>73.992473333333336</v>
      </c>
      <c r="H54" s="15">
        <v>10.456</v>
      </c>
      <c r="I54" s="3">
        <v>17031.3</v>
      </c>
    </row>
    <row r="55" spans="1:9" x14ac:dyDescent="0.25">
      <c r="A55" t="s">
        <v>54</v>
      </c>
      <c r="B55" s="2">
        <v>40908</v>
      </c>
      <c r="C55" s="3">
        <v>746.4</v>
      </c>
      <c r="D55" s="3">
        <v>5900391.5999999996</v>
      </c>
      <c r="E55" s="4">
        <v>108.32</v>
      </c>
      <c r="F55" s="4">
        <v>86.356666666666683</v>
      </c>
      <c r="G55" s="5">
        <v>74.529103333333339</v>
      </c>
      <c r="H55" s="15">
        <v>11.585000000000001</v>
      </c>
      <c r="I55" s="3">
        <v>17222.599999999999</v>
      </c>
    </row>
    <row r="56" spans="1:9" x14ac:dyDescent="0.25">
      <c r="A56" t="s">
        <v>55</v>
      </c>
      <c r="B56" s="2">
        <v>40999</v>
      </c>
      <c r="C56" s="3">
        <v>702.2</v>
      </c>
      <c r="D56" s="3">
        <v>5869806</v>
      </c>
      <c r="E56" s="4">
        <v>99.43</v>
      </c>
      <c r="F56" s="4">
        <v>86.243333333333339</v>
      </c>
      <c r="G56" s="5">
        <v>75.430473333333325</v>
      </c>
      <c r="H56" s="15">
        <v>11.513</v>
      </c>
      <c r="I56" s="3">
        <v>17367</v>
      </c>
    </row>
    <row r="57" spans="1:9" x14ac:dyDescent="0.25">
      <c r="A57" t="s">
        <v>56</v>
      </c>
      <c r="B57" s="2">
        <v>41090</v>
      </c>
      <c r="C57" s="3">
        <v>710.4</v>
      </c>
      <c r="D57" s="3">
        <v>5707518.7999999998</v>
      </c>
      <c r="E57" s="4">
        <v>99.44</v>
      </c>
      <c r="F57" s="4">
        <v>83.710000000000008</v>
      </c>
      <c r="G57" s="5">
        <v>76.724526666666677</v>
      </c>
      <c r="H57" s="15">
        <v>11.335000000000001</v>
      </c>
      <c r="I57" s="3">
        <v>17444.5</v>
      </c>
    </row>
    <row r="58" spans="1:9" x14ac:dyDescent="0.25">
      <c r="A58" t="s">
        <v>57</v>
      </c>
      <c r="B58" s="2">
        <v>41182</v>
      </c>
      <c r="C58" s="3">
        <v>615.29999999999995</v>
      </c>
      <c r="D58" s="3">
        <v>5784442.2000000002</v>
      </c>
      <c r="E58" s="4">
        <v>99.52</v>
      </c>
      <c r="F58" s="4">
        <v>82.616666666666674</v>
      </c>
      <c r="G58" s="5">
        <v>77.111526666666677</v>
      </c>
      <c r="H58" s="15">
        <v>11.582000000000001</v>
      </c>
      <c r="I58" s="3">
        <v>17469.7</v>
      </c>
    </row>
    <row r="59" spans="1:9" x14ac:dyDescent="0.25">
      <c r="A59" t="s">
        <v>58</v>
      </c>
      <c r="B59" s="2">
        <v>41274</v>
      </c>
      <c r="C59" s="3">
        <v>668.4</v>
      </c>
      <c r="D59" s="3">
        <v>6391101.5999999996</v>
      </c>
      <c r="E59" s="4">
        <v>100.33</v>
      </c>
      <c r="F59" s="4">
        <v>82.25333333333333</v>
      </c>
      <c r="G59" s="5">
        <v>78.118650000000002</v>
      </c>
      <c r="H59" s="15">
        <v>12.801</v>
      </c>
      <c r="I59" s="3">
        <v>17489.900000000001</v>
      </c>
    </row>
    <row r="60" spans="1:9" x14ac:dyDescent="0.25">
      <c r="A60" t="s">
        <v>59</v>
      </c>
      <c r="B60" s="2">
        <v>41364</v>
      </c>
      <c r="C60" s="3">
        <v>1025.2</v>
      </c>
      <c r="D60" s="3">
        <v>6373627.2000000002</v>
      </c>
      <c r="E60" s="4">
        <v>97.89</v>
      </c>
      <c r="F60" s="4">
        <v>81.11666666666666</v>
      </c>
      <c r="G60" s="5">
        <v>80.07189666666666</v>
      </c>
      <c r="H60" s="15">
        <v>12.734</v>
      </c>
      <c r="I60" s="3">
        <v>17662.400000000001</v>
      </c>
    </row>
    <row r="61" spans="1:9" x14ac:dyDescent="0.25">
      <c r="A61" t="s">
        <v>60</v>
      </c>
      <c r="B61" s="2">
        <v>41455</v>
      </c>
      <c r="C61" s="3">
        <v>541.70000000000005</v>
      </c>
      <c r="D61" s="3">
        <v>6142593.9000000004</v>
      </c>
      <c r="E61" s="4">
        <v>99.01</v>
      </c>
      <c r="F61" s="4">
        <v>80.090000000000018</v>
      </c>
      <c r="G61" s="5">
        <v>81.000986666666677</v>
      </c>
      <c r="H61" s="15">
        <v>12.31</v>
      </c>
      <c r="I61" s="3">
        <v>17709.7</v>
      </c>
    </row>
    <row r="62" spans="1:9" x14ac:dyDescent="0.25">
      <c r="A62" t="s">
        <v>61</v>
      </c>
      <c r="B62" s="2">
        <v>41547</v>
      </c>
      <c r="C62" s="3">
        <v>564.6</v>
      </c>
      <c r="D62" s="3">
        <v>6209519.9000000004</v>
      </c>
      <c r="E62" s="4">
        <v>98.89</v>
      </c>
      <c r="F62" s="4">
        <v>79.846666666666678</v>
      </c>
      <c r="G62" s="5">
        <v>81.350410000000011</v>
      </c>
      <c r="H62" s="15">
        <v>12.427</v>
      </c>
      <c r="I62" s="3">
        <v>17860.5</v>
      </c>
    </row>
    <row r="63" spans="1:9" x14ac:dyDescent="0.25">
      <c r="A63" t="s">
        <v>62</v>
      </c>
      <c r="B63" s="2">
        <v>41639</v>
      </c>
      <c r="C63" s="3">
        <v>1073.9000000000001</v>
      </c>
      <c r="D63" s="3">
        <v>6737213.7000000002</v>
      </c>
      <c r="E63" s="4">
        <v>100.13</v>
      </c>
      <c r="F63" s="4">
        <v>80.600000000000009</v>
      </c>
      <c r="G63" s="5">
        <v>81.041776666666664</v>
      </c>
      <c r="H63" s="15">
        <v>13.478999999999999</v>
      </c>
      <c r="I63" s="3">
        <v>18016.099999999999</v>
      </c>
    </row>
    <row r="64" spans="1:9" x14ac:dyDescent="0.25">
      <c r="A64" t="s">
        <v>63</v>
      </c>
      <c r="B64" s="2">
        <v>41729</v>
      </c>
      <c r="C64" s="3">
        <v>927.7</v>
      </c>
      <c r="D64" s="3">
        <v>6954591.7999999998</v>
      </c>
      <c r="E64" s="4">
        <v>99.58</v>
      </c>
      <c r="F64" s="4">
        <v>83.73</v>
      </c>
      <c r="G64" s="5">
        <v>82.50139333333334</v>
      </c>
      <c r="H64" s="15">
        <v>13.212</v>
      </c>
      <c r="I64" s="3">
        <v>17954</v>
      </c>
    </row>
    <row r="65" spans="1:9" x14ac:dyDescent="0.25">
      <c r="A65" t="s">
        <v>64</v>
      </c>
      <c r="B65" s="2">
        <v>41820</v>
      </c>
      <c r="C65" s="3">
        <v>511.7</v>
      </c>
      <c r="D65" s="3">
        <v>6757986.0999999996</v>
      </c>
      <c r="E65" s="4">
        <v>100.4</v>
      </c>
      <c r="F65" s="4">
        <v>86.703333333333333</v>
      </c>
      <c r="G65" s="5">
        <v>84.370323333333332</v>
      </c>
      <c r="H65" s="15">
        <v>12.272</v>
      </c>
      <c r="I65" s="3">
        <v>18185.900000000001</v>
      </c>
    </row>
    <row r="66" spans="1:9" x14ac:dyDescent="0.25">
      <c r="A66" t="s">
        <v>65</v>
      </c>
      <c r="B66" s="2">
        <v>41912</v>
      </c>
      <c r="C66" s="3">
        <v>815.8</v>
      </c>
      <c r="D66" s="3">
        <v>6861851.5</v>
      </c>
      <c r="E66" s="4">
        <v>101.02</v>
      </c>
      <c r="F66" s="4">
        <v>83.36666666666666</v>
      </c>
      <c r="G66" s="5">
        <v>85.655119999999997</v>
      </c>
      <c r="H66" s="15">
        <v>12.718</v>
      </c>
      <c r="I66" s="3">
        <v>18406.900000000001</v>
      </c>
    </row>
    <row r="67" spans="1:9" x14ac:dyDescent="0.25">
      <c r="A67" t="s">
        <v>66</v>
      </c>
      <c r="B67" s="2">
        <v>42004</v>
      </c>
      <c r="C67" s="3">
        <v>987</v>
      </c>
      <c r="D67" s="3">
        <v>7426898.2000000002</v>
      </c>
      <c r="E67" s="4">
        <v>104.05</v>
      </c>
      <c r="F67" s="4">
        <v>81.506666666666675</v>
      </c>
      <c r="G67" s="5">
        <v>85.556750000000008</v>
      </c>
      <c r="H67" s="15">
        <v>13.815</v>
      </c>
      <c r="I67" s="3">
        <v>18500</v>
      </c>
    </row>
    <row r="68" spans="1:9" x14ac:dyDescent="0.25">
      <c r="A68" t="s">
        <v>67</v>
      </c>
      <c r="B68" s="2">
        <v>42094</v>
      </c>
      <c r="C68" s="3">
        <v>724.4</v>
      </c>
      <c r="D68" s="3">
        <v>7593796.0999999996</v>
      </c>
      <c r="E68" s="4">
        <v>109.29</v>
      </c>
      <c r="F68" s="4">
        <v>79.156666666666652</v>
      </c>
      <c r="G68" s="5">
        <v>85.512906666666666</v>
      </c>
      <c r="H68" s="15">
        <v>14.169</v>
      </c>
      <c r="I68" s="3">
        <v>18666.599999999999</v>
      </c>
    </row>
    <row r="69" spans="1:9" x14ac:dyDescent="0.25">
      <c r="A69" t="s">
        <v>68</v>
      </c>
      <c r="B69" s="2">
        <v>42185</v>
      </c>
      <c r="C69" s="3">
        <v>765.8</v>
      </c>
      <c r="D69" s="3">
        <v>7379237.5</v>
      </c>
      <c r="E69" s="4">
        <v>107.1</v>
      </c>
      <c r="F69" s="4">
        <v>79.143333333333331</v>
      </c>
      <c r="G69" s="5">
        <v>85.437406666666675</v>
      </c>
      <c r="H69" s="15">
        <v>13.83</v>
      </c>
      <c r="I69" s="3">
        <v>18782.2</v>
      </c>
    </row>
    <row r="70" spans="1:9" x14ac:dyDescent="0.25">
      <c r="A70" t="s">
        <v>69</v>
      </c>
      <c r="B70" s="2">
        <v>42277</v>
      </c>
      <c r="C70" s="3">
        <v>732.7</v>
      </c>
      <c r="D70" s="3">
        <v>7365100.9000000004</v>
      </c>
      <c r="E70" s="4">
        <v>108.45</v>
      </c>
      <c r="F70" s="4">
        <v>78.67</v>
      </c>
      <c r="G70" s="5">
        <v>85.105516666666674</v>
      </c>
      <c r="H70" s="15">
        <v>13.776999999999999</v>
      </c>
      <c r="I70" s="3">
        <v>18857.400000000001</v>
      </c>
    </row>
    <row r="71" spans="1:9" x14ac:dyDescent="0.25">
      <c r="A71" t="s">
        <v>70</v>
      </c>
      <c r="B71" s="2">
        <v>42369</v>
      </c>
      <c r="C71" s="3">
        <v>732.6</v>
      </c>
      <c r="D71" s="3">
        <v>7833784.4000000004</v>
      </c>
      <c r="E71" s="4">
        <v>109.63</v>
      </c>
      <c r="F71" s="4">
        <v>78.290000000000006</v>
      </c>
      <c r="G71" s="5">
        <v>84.738696666666669</v>
      </c>
      <c r="H71" s="15">
        <v>14.666</v>
      </c>
      <c r="I71" s="3">
        <v>18892.2</v>
      </c>
    </row>
    <row r="72" spans="1:9" x14ac:dyDescent="0.25">
      <c r="A72" t="s">
        <v>71</v>
      </c>
      <c r="B72" s="2">
        <v>42460</v>
      </c>
      <c r="C72" s="3">
        <v>643.4</v>
      </c>
      <c r="D72" s="3">
        <v>7876728.2999999998</v>
      </c>
      <c r="E72" s="4">
        <v>114.76</v>
      </c>
      <c r="F72" s="4">
        <v>77.850000000000009</v>
      </c>
      <c r="G72" s="5">
        <v>85.144723333333332</v>
      </c>
      <c r="H72" s="15">
        <v>14.695</v>
      </c>
      <c r="I72" s="3">
        <v>19001.7</v>
      </c>
    </row>
    <row r="73" spans="1:9" x14ac:dyDescent="0.25">
      <c r="A73" t="s">
        <v>72</v>
      </c>
      <c r="B73" s="2">
        <v>42551</v>
      </c>
      <c r="C73" s="3">
        <v>774.5</v>
      </c>
      <c r="D73" s="3">
        <v>7669145</v>
      </c>
      <c r="E73" s="4">
        <v>112.9</v>
      </c>
      <c r="F73" s="4">
        <v>79.923333333333332</v>
      </c>
      <c r="G73" s="5">
        <v>84.802246666666662</v>
      </c>
      <c r="H73" s="15">
        <v>14.233000000000001</v>
      </c>
      <c r="I73" s="3">
        <v>19062.7</v>
      </c>
    </row>
    <row r="74" spans="1:9" x14ac:dyDescent="0.25">
      <c r="A74" t="s">
        <v>73</v>
      </c>
      <c r="B74" s="2">
        <v>42643</v>
      </c>
      <c r="C74" s="3">
        <v>487.6</v>
      </c>
      <c r="D74" s="3">
        <v>7797652.5</v>
      </c>
      <c r="E74" s="4">
        <v>111.6</v>
      </c>
      <c r="F74" s="4">
        <v>80.88</v>
      </c>
      <c r="G74" s="5">
        <v>85.518959999999993</v>
      </c>
      <c r="H74" s="15">
        <v>14.172000000000001</v>
      </c>
      <c r="I74" s="3">
        <v>19197.900000000001</v>
      </c>
    </row>
    <row r="75" spans="1:9" x14ac:dyDescent="0.25">
      <c r="A75" t="s">
        <v>74</v>
      </c>
      <c r="B75" s="2">
        <v>42735</v>
      </c>
      <c r="C75" s="3">
        <v>714.9</v>
      </c>
      <c r="D75" s="3">
        <v>8712762.4000000004</v>
      </c>
      <c r="E75" s="4">
        <v>110.89</v>
      </c>
      <c r="F75" s="4">
        <v>80.73</v>
      </c>
      <c r="G75" s="5">
        <v>85.269053333333332</v>
      </c>
      <c r="H75" s="15">
        <v>15.747</v>
      </c>
      <c r="I75" s="3">
        <v>19304.400000000001</v>
      </c>
    </row>
    <row r="76" spans="1:9" x14ac:dyDescent="0.25">
      <c r="A76" t="s">
        <v>75</v>
      </c>
      <c r="B76" s="2">
        <v>42825</v>
      </c>
      <c r="C76" s="3">
        <v>774.4</v>
      </c>
      <c r="D76" s="3">
        <v>8625087.9000000004</v>
      </c>
      <c r="E76" s="4">
        <v>109.63</v>
      </c>
      <c r="F76" s="4">
        <v>81.036666666666676</v>
      </c>
      <c r="G76" s="5">
        <v>86.086543333333339</v>
      </c>
      <c r="H76" s="15">
        <v>15.444000000000001</v>
      </c>
      <c r="I76" s="3">
        <v>19398.3</v>
      </c>
    </row>
    <row r="77" spans="1:9" x14ac:dyDescent="0.25">
      <c r="A77" t="s">
        <v>76</v>
      </c>
      <c r="B77" s="2">
        <v>42916</v>
      </c>
      <c r="C77" s="3">
        <v>867</v>
      </c>
      <c r="D77" s="3">
        <v>8368033.4000000004</v>
      </c>
      <c r="E77" s="4">
        <v>110.33</v>
      </c>
      <c r="F77" s="4">
        <v>83.780000000000015</v>
      </c>
      <c r="G77" s="5">
        <v>86.240896666666671</v>
      </c>
      <c r="H77" s="15">
        <v>14.705</v>
      </c>
      <c r="I77" s="3">
        <v>19506.900000000001</v>
      </c>
    </row>
    <row r="78" spans="1:9" x14ac:dyDescent="0.25">
      <c r="A78" t="s">
        <v>77</v>
      </c>
      <c r="B78" s="2">
        <v>43008</v>
      </c>
      <c r="C78" s="3">
        <v>680.6</v>
      </c>
      <c r="D78" s="3">
        <v>8307804.5</v>
      </c>
      <c r="E78" s="4">
        <v>111.46</v>
      </c>
      <c r="F78" s="4">
        <v>85.853333333333339</v>
      </c>
      <c r="G78" s="5">
        <v>86.577076666666656</v>
      </c>
      <c r="H78" s="15">
        <v>14.465</v>
      </c>
      <c r="I78" s="3">
        <v>19660.8</v>
      </c>
    </row>
    <row r="79" spans="1:9" x14ac:dyDescent="0.25">
      <c r="A79" t="s">
        <v>78</v>
      </c>
      <c r="B79" s="2">
        <v>43100</v>
      </c>
      <c r="C79" s="3">
        <v>602.9</v>
      </c>
      <c r="D79" s="3">
        <v>9042721.6999999993</v>
      </c>
      <c r="E79" s="4">
        <v>109.62</v>
      </c>
      <c r="F79" s="4">
        <v>84.436666666666667</v>
      </c>
      <c r="G79" s="5">
        <v>87.369876666666656</v>
      </c>
      <c r="H79" s="15">
        <v>15.901999999999999</v>
      </c>
      <c r="I79" s="3">
        <v>19882.400000000001</v>
      </c>
    </row>
    <row r="80" spans="1:9" x14ac:dyDescent="0.25">
      <c r="A80" t="s">
        <v>79</v>
      </c>
      <c r="B80" s="2">
        <v>43190</v>
      </c>
      <c r="C80" s="3">
        <v>522.6</v>
      </c>
      <c r="D80" s="3">
        <v>9324028.8000000007</v>
      </c>
      <c r="E80" s="4">
        <v>108.31</v>
      </c>
      <c r="F80" s="4">
        <v>85.65000000000002</v>
      </c>
      <c r="G80" s="5">
        <v>88.161926666666673</v>
      </c>
      <c r="H80" s="15">
        <v>16.382000000000001</v>
      </c>
      <c r="I80" s="3">
        <v>20044.099999999999</v>
      </c>
    </row>
    <row r="81" spans="1:9" x14ac:dyDescent="0.25">
      <c r="A81" t="s">
        <v>80</v>
      </c>
      <c r="B81" s="2">
        <v>43281</v>
      </c>
      <c r="C81" s="3">
        <v>522.20000000000005</v>
      </c>
      <c r="D81" s="3">
        <v>8887308.4000000004</v>
      </c>
      <c r="E81" s="4">
        <v>107.46</v>
      </c>
      <c r="F81" s="4">
        <v>84.92</v>
      </c>
      <c r="G81" s="5">
        <v>88.122383333333332</v>
      </c>
      <c r="H81" s="15">
        <v>15.699</v>
      </c>
      <c r="I81" s="3">
        <v>20150.5</v>
      </c>
    </row>
    <row r="82" spans="1:9" x14ac:dyDescent="0.25">
      <c r="A82" t="s">
        <v>81</v>
      </c>
      <c r="B82" s="2">
        <v>43373</v>
      </c>
      <c r="C82" s="3">
        <v>786.5</v>
      </c>
      <c r="D82" s="3">
        <v>8666042.6999999993</v>
      </c>
      <c r="E82" s="4">
        <v>107.25</v>
      </c>
      <c r="F82" s="4">
        <v>84.679999999999993</v>
      </c>
      <c r="G82" s="5">
        <v>88.463393333333329</v>
      </c>
      <c r="H82" s="15">
        <v>15.162000000000001</v>
      </c>
      <c r="I82" s="3">
        <v>20276.2</v>
      </c>
    </row>
    <row r="83" spans="1:9" x14ac:dyDescent="0.25">
      <c r="A83" t="s">
        <v>82</v>
      </c>
      <c r="B83" s="2">
        <v>43465</v>
      </c>
      <c r="C83" s="3">
        <v>1183.2</v>
      </c>
      <c r="D83" s="3">
        <v>9222500.5</v>
      </c>
      <c r="E83" s="4">
        <v>108.96</v>
      </c>
      <c r="F83" s="4">
        <v>87.966666666666654</v>
      </c>
      <c r="G83" s="5">
        <v>89.218130000000016</v>
      </c>
      <c r="H83" s="15">
        <v>15.324</v>
      </c>
      <c r="I83" s="3">
        <v>20304.900000000001</v>
      </c>
    </row>
    <row r="84" spans="1:9" x14ac:dyDescent="0.25">
      <c r="A84" t="s">
        <v>83</v>
      </c>
      <c r="B84" s="2">
        <v>43555</v>
      </c>
      <c r="C84" s="3">
        <v>661.4</v>
      </c>
      <c r="D84" s="3">
        <v>9528154.5</v>
      </c>
      <c r="E84" s="4">
        <v>109.26</v>
      </c>
      <c r="F84" s="4">
        <v>89.226666666666674</v>
      </c>
      <c r="G84" s="5">
        <v>89.520136666666659</v>
      </c>
      <c r="H84" s="15">
        <v>15.695</v>
      </c>
      <c r="I84" s="3">
        <v>20431.599999999999</v>
      </c>
    </row>
    <row r="85" spans="1:9" x14ac:dyDescent="0.25">
      <c r="A85" t="s">
        <v>84</v>
      </c>
      <c r="B85" s="2">
        <v>43646</v>
      </c>
      <c r="C85" s="3">
        <v>467.6</v>
      </c>
      <c r="D85" s="3">
        <v>9229088.3000000007</v>
      </c>
      <c r="E85" s="4">
        <v>107.76</v>
      </c>
      <c r="F85" s="4">
        <v>87.036666666666676</v>
      </c>
      <c r="G85" s="5">
        <v>90.123756666666679</v>
      </c>
      <c r="H85" s="15">
        <v>15.558999999999999</v>
      </c>
      <c r="I85" s="3">
        <v>20602.3</v>
      </c>
    </row>
    <row r="86" spans="1:9" x14ac:dyDescent="0.25">
      <c r="A86" t="s">
        <v>85</v>
      </c>
      <c r="B86" s="2">
        <v>43738</v>
      </c>
      <c r="C86" s="3">
        <v>584.1</v>
      </c>
      <c r="D86" s="3">
        <v>9291450</v>
      </c>
      <c r="E86" s="4">
        <v>108.84</v>
      </c>
      <c r="F86" s="4">
        <v>83.223333333333343</v>
      </c>
      <c r="G86" s="5">
        <v>90.903123333333326</v>
      </c>
      <c r="H86" s="15">
        <v>16.163</v>
      </c>
      <c r="I86" s="3">
        <v>20843.3</v>
      </c>
    </row>
    <row r="87" spans="1:9" x14ac:dyDescent="0.25">
      <c r="A87" t="s">
        <v>86</v>
      </c>
      <c r="B87" s="2">
        <v>43830</v>
      </c>
      <c r="C87" s="3">
        <v>1005.9</v>
      </c>
      <c r="D87" s="3">
        <v>9980690.6999999993</v>
      </c>
      <c r="E87" s="4">
        <v>108.56</v>
      </c>
      <c r="F87" s="4">
        <v>83.643333333333331</v>
      </c>
      <c r="G87" s="5">
        <v>90.838639999999998</v>
      </c>
      <c r="H87" s="15">
        <v>17.335000000000001</v>
      </c>
      <c r="I87" s="3">
        <v>20985.4</v>
      </c>
    </row>
    <row r="88" spans="1:9" x14ac:dyDescent="0.25">
      <c r="A88" t="s">
        <v>87</v>
      </c>
      <c r="B88" s="2">
        <v>43921</v>
      </c>
      <c r="C88" s="3">
        <v>669.9</v>
      </c>
      <c r="D88" s="3">
        <v>9956263.1999999993</v>
      </c>
      <c r="E88" s="4">
        <v>108.48</v>
      </c>
      <c r="F88" s="4">
        <v>82.850000000000009</v>
      </c>
      <c r="G88" s="5">
        <v>91.095603333333329</v>
      </c>
      <c r="H88" s="15">
        <v>17.437999999999999</v>
      </c>
      <c r="I88" s="3">
        <v>20709.2</v>
      </c>
    </row>
    <row r="89" spans="1:9" x14ac:dyDescent="0.25">
      <c r="A89" t="s">
        <v>88</v>
      </c>
      <c r="B89" s="2">
        <v>44012</v>
      </c>
      <c r="C89" s="3">
        <v>238</v>
      </c>
      <c r="D89" s="3">
        <v>8351873</v>
      </c>
      <c r="E89" s="4">
        <v>110.67</v>
      </c>
      <c r="F89" s="4">
        <v>81.696666666666673</v>
      </c>
      <c r="G89" s="5">
        <v>90.667603333333332</v>
      </c>
      <c r="H89" s="15">
        <v>14.595000000000001</v>
      </c>
      <c r="I89" s="3">
        <v>19078</v>
      </c>
    </row>
    <row r="90" spans="1:9" x14ac:dyDescent="0.25">
      <c r="A90" t="s">
        <v>89</v>
      </c>
      <c r="B90" s="2">
        <v>44104</v>
      </c>
      <c r="C90" s="3">
        <v>462.3</v>
      </c>
      <c r="D90" s="3">
        <v>8666411.4000000004</v>
      </c>
      <c r="E90" s="4">
        <v>108.64</v>
      </c>
      <c r="F90" s="4">
        <v>86.14</v>
      </c>
      <c r="G90" s="5">
        <v>90.922093333333336</v>
      </c>
      <c r="H90" s="15">
        <v>14.662000000000001</v>
      </c>
      <c r="I90" s="3">
        <v>20558.900000000001</v>
      </c>
    </row>
    <row r="91" spans="1:9" x14ac:dyDescent="0.25">
      <c r="A91" t="s">
        <v>90</v>
      </c>
      <c r="B91" s="2">
        <v>44196</v>
      </c>
      <c r="C91" s="3">
        <v>732.9</v>
      </c>
      <c r="D91" s="3">
        <v>9761081.5</v>
      </c>
      <c r="E91" s="4">
        <v>108.75</v>
      </c>
      <c r="F91" s="4">
        <v>89.339999999999989</v>
      </c>
      <c r="G91" s="5">
        <v>91.319826666666657</v>
      </c>
      <c r="H91" s="15">
        <v>16.111999999999998</v>
      </c>
      <c r="I91" s="3">
        <v>20791.900000000001</v>
      </c>
    </row>
    <row r="92" spans="1:9" x14ac:dyDescent="0.25">
      <c r="A92" t="s">
        <v>91</v>
      </c>
      <c r="B92" s="2">
        <v>44286</v>
      </c>
      <c r="C92" s="3">
        <v>859.6</v>
      </c>
      <c r="D92" s="3">
        <v>9881831.6999999993</v>
      </c>
      <c r="E92" s="4">
        <v>106.27</v>
      </c>
      <c r="F92" s="4">
        <v>91.38000000000001</v>
      </c>
      <c r="G92" s="5">
        <v>91.655903333333342</v>
      </c>
      <c r="H92" s="15">
        <v>16.175000000000001</v>
      </c>
      <c r="I92" s="3">
        <v>21106.6</v>
      </c>
    </row>
    <row r="93" spans="1:9" x14ac:dyDescent="0.25">
      <c r="A93" t="s">
        <v>92</v>
      </c>
      <c r="B93" s="2">
        <v>44377</v>
      </c>
      <c r="C93" s="3">
        <v>839</v>
      </c>
      <c r="D93" s="3">
        <v>9543793.9000000004</v>
      </c>
      <c r="E93" s="4">
        <v>104.3</v>
      </c>
      <c r="F93" s="4">
        <v>93.116666666666674</v>
      </c>
      <c r="G93" s="5">
        <v>92.015280000000004</v>
      </c>
      <c r="H93" s="15">
        <v>15.518000000000001</v>
      </c>
      <c r="I93" s="3">
        <v>21474.1</v>
      </c>
    </row>
    <row r="94" spans="1:9" x14ac:dyDescent="0.25">
      <c r="A94" t="s">
        <v>93</v>
      </c>
      <c r="B94" s="2">
        <v>44469</v>
      </c>
      <c r="C94" s="3">
        <v>1213</v>
      </c>
      <c r="D94" s="3">
        <v>10149401.6</v>
      </c>
      <c r="E94" s="4">
        <v>102.85</v>
      </c>
      <c r="F94" s="4">
        <v>94.143333333333331</v>
      </c>
      <c r="G94" s="5">
        <v>92.513746666666648</v>
      </c>
      <c r="H94" s="15">
        <v>16.343</v>
      </c>
      <c r="I94" s="3">
        <v>21641.7</v>
      </c>
    </row>
    <row r="95" spans="1:9" x14ac:dyDescent="0.25">
      <c r="A95" t="s">
        <v>94</v>
      </c>
      <c r="B95" s="2">
        <v>44561</v>
      </c>
      <c r="C95" s="3">
        <v>681.3</v>
      </c>
      <c r="D95" s="3">
        <v>11141583.699999999</v>
      </c>
      <c r="E95" s="4">
        <v>100.95</v>
      </c>
      <c r="F95" s="4">
        <v>95.280000000000015</v>
      </c>
      <c r="G95" s="5">
        <v>94.105016666666657</v>
      </c>
      <c r="H95" s="15">
        <v>17.553000000000001</v>
      </c>
      <c r="I95" s="3">
        <v>22001.599999999999</v>
      </c>
    </row>
    <row r="96" spans="1:9" x14ac:dyDescent="0.25">
      <c r="A96" t="s">
        <v>95</v>
      </c>
      <c r="B96" s="2">
        <v>44651</v>
      </c>
      <c r="C96" s="3">
        <v>1516.9</v>
      </c>
      <c r="D96" s="3">
        <v>11301602.199999999</v>
      </c>
      <c r="E96" s="4">
        <v>100.27</v>
      </c>
      <c r="F96" s="4">
        <v>96.27</v>
      </c>
      <c r="G96" s="5">
        <v>95.989923333333323</v>
      </c>
      <c r="H96" s="15">
        <v>17.504000000000001</v>
      </c>
      <c r="I96" s="3">
        <v>21945.7</v>
      </c>
    </row>
    <row r="97" spans="1:9" x14ac:dyDescent="0.25">
      <c r="A97" t="s">
        <v>96</v>
      </c>
      <c r="B97" s="2">
        <v>44742</v>
      </c>
      <c r="C97" s="3">
        <v>1055.2</v>
      </c>
      <c r="D97" s="3">
        <v>10901129.4</v>
      </c>
      <c r="E97" s="4">
        <v>96.52</v>
      </c>
      <c r="F97" s="4">
        <v>97.563333333333333</v>
      </c>
      <c r="G97" s="5">
        <v>99.968066666666644</v>
      </c>
      <c r="H97" s="15">
        <v>16.135000000000002</v>
      </c>
      <c r="I97" s="3">
        <v>21976.3</v>
      </c>
    </row>
    <row r="98" spans="1:9" x14ac:dyDescent="0.25">
      <c r="A98" t="s">
        <v>97</v>
      </c>
      <c r="B98" s="2">
        <v>44834</v>
      </c>
      <c r="C98" s="3">
        <v>552.9</v>
      </c>
      <c r="D98" s="3">
        <v>11376077.699999999</v>
      </c>
      <c r="E98" s="4">
        <v>100.22</v>
      </c>
      <c r="F98" s="4">
        <v>92.410000000000011</v>
      </c>
      <c r="G98" s="5">
        <v>102.98854</v>
      </c>
      <c r="H98" s="15">
        <v>17.158000000000001</v>
      </c>
      <c r="I98" s="3">
        <v>22124.400000000001</v>
      </c>
    </row>
    <row r="99" spans="1:9" x14ac:dyDescent="0.25">
      <c r="A99" t="s">
        <v>98</v>
      </c>
      <c r="B99" s="2">
        <v>44926</v>
      </c>
      <c r="C99" s="3">
        <v>2086.5</v>
      </c>
      <c r="D99" s="3">
        <v>12368627.4</v>
      </c>
      <c r="E99" s="4">
        <v>101.87</v>
      </c>
      <c r="F99" s="4">
        <v>86.356666666666669</v>
      </c>
      <c r="G99" s="5">
        <v>101.98353333333334</v>
      </c>
      <c r="H99" s="15">
        <v>20.204000000000001</v>
      </c>
      <c r="I99" s="3">
        <v>22272.5</v>
      </c>
    </row>
    <row r="100" spans="1:9" x14ac:dyDescent="0.25">
      <c r="A100" t="s">
        <v>99</v>
      </c>
      <c r="B100" s="2">
        <v>45016</v>
      </c>
      <c r="C100" s="3">
        <v>1052.7</v>
      </c>
      <c r="D100" s="3">
        <v>12059522.4</v>
      </c>
      <c r="E100" s="4">
        <v>102.3</v>
      </c>
      <c r="F100" s="4">
        <v>81.973333333333343</v>
      </c>
      <c r="G100" s="5">
        <v>101.62675999999999</v>
      </c>
      <c r="H100" s="15">
        <v>21.378</v>
      </c>
      <c r="I100" s="3">
        <v>22456.9</v>
      </c>
    </row>
    <row r="101" spans="1:9" x14ac:dyDescent="0.25">
      <c r="A101" t="s">
        <v>100</v>
      </c>
      <c r="B101" s="2">
        <v>45107</v>
      </c>
      <c r="C101" s="3">
        <v>1521.3</v>
      </c>
      <c r="D101" s="3">
        <v>11338049.9</v>
      </c>
      <c r="E101" s="4">
        <v>103.09</v>
      </c>
      <c r="F101" s="4">
        <v>80.38</v>
      </c>
      <c r="G101" s="5">
        <v>100.71038333333333</v>
      </c>
      <c r="H101" s="15">
        <v>20.942</v>
      </c>
      <c r="I101" s="3">
        <v>22577.599999999999</v>
      </c>
    </row>
    <row r="102" spans="1:9" x14ac:dyDescent="0.25">
      <c r="A102" t="s">
        <v>101</v>
      </c>
      <c r="B102" s="2">
        <v>45199</v>
      </c>
      <c r="C102" s="3">
        <v>1066.7</v>
      </c>
      <c r="D102" s="3">
        <v>11673115.9</v>
      </c>
      <c r="E102" s="4">
        <v>101.03</v>
      </c>
      <c r="F102" s="4">
        <v>80.936666666666667</v>
      </c>
      <c r="G102" s="5">
        <v>100.30928999999999</v>
      </c>
      <c r="H102" s="15">
        <v>21.603999999999999</v>
      </c>
      <c r="I102" s="3">
        <v>22828.799999999999</v>
      </c>
    </row>
    <row r="103" spans="1:9" x14ac:dyDescent="0.25">
      <c r="A103" t="s">
        <v>102</v>
      </c>
      <c r="B103" s="2">
        <v>45291</v>
      </c>
      <c r="C103" s="3">
        <v>1658.7</v>
      </c>
      <c r="D103" s="3">
        <v>12540629.9</v>
      </c>
      <c r="E103" s="4">
        <v>101.12</v>
      </c>
      <c r="F103" s="4">
        <v>79.509999999999991</v>
      </c>
      <c r="G103" s="5">
        <v>100.38925333333333</v>
      </c>
      <c r="H103" s="15">
        <v>23.59</v>
      </c>
      <c r="I103" s="3">
        <v>23033.3</v>
      </c>
    </row>
    <row r="104" spans="1:9" x14ac:dyDescent="0.25">
      <c r="A104" t="s">
        <v>103</v>
      </c>
      <c r="B104" s="2">
        <v>45382</v>
      </c>
      <c r="C104" s="3">
        <v>1405.7</v>
      </c>
      <c r="D104" s="3">
        <v>12379597.4</v>
      </c>
      <c r="E104" s="4">
        <v>101.08</v>
      </c>
      <c r="F104" s="4">
        <v>77.923333333333332</v>
      </c>
      <c r="G104" s="5">
        <v>100.20707333333333</v>
      </c>
      <c r="H104" s="15">
        <v>24.088000000000001</v>
      </c>
      <c r="I104" s="3">
        <v>23116</v>
      </c>
    </row>
    <row r="105" spans="1:9" x14ac:dyDescent="0.25">
      <c r="A105" t="s">
        <v>104</v>
      </c>
      <c r="B105" s="2">
        <v>45473</v>
      </c>
      <c r="C105" s="3">
        <v>1314.6</v>
      </c>
      <c r="D105" s="3">
        <v>12009919.9</v>
      </c>
      <c r="E105" s="4">
        <v>101.28</v>
      </c>
      <c r="F105" s="4">
        <v>77.5</v>
      </c>
      <c r="G105" s="5">
        <v>100.41161</v>
      </c>
      <c r="H105" s="15">
        <v>23.396000000000001</v>
      </c>
      <c r="I105" s="3">
        <v>23320.1</v>
      </c>
    </row>
    <row r="106" spans="1:9" x14ac:dyDescent="0.25">
      <c r="A106" t="s">
        <v>105</v>
      </c>
      <c r="B106" s="2">
        <v>45565</v>
      </c>
      <c r="C106" s="3">
        <v>1307.2</v>
      </c>
      <c r="D106" s="3">
        <v>12167428.1</v>
      </c>
      <c r="E106" s="4">
        <v>102.21</v>
      </c>
      <c r="F106" s="4">
        <v>78.126666666666665</v>
      </c>
      <c r="G106" s="5">
        <v>100.37891666666667</v>
      </c>
      <c r="H106" s="15">
        <v>23.273</v>
      </c>
      <c r="I106" s="3">
        <v>23501.8</v>
      </c>
    </row>
    <row r="107" spans="1:9" x14ac:dyDescent="0.25">
      <c r="A107" t="s">
        <v>106</v>
      </c>
      <c r="B107" s="2">
        <v>45657</v>
      </c>
      <c r="C107" s="3">
        <v>1376</v>
      </c>
      <c r="D107" s="3">
        <v>13262228.199999999</v>
      </c>
      <c r="E107" s="4">
        <v>103.19</v>
      </c>
      <c r="F107" s="4">
        <v>75.63666666666667</v>
      </c>
      <c r="G107" s="5">
        <v>100.37647333333332</v>
      </c>
      <c r="H107" s="15">
        <v>25.960999999999999</v>
      </c>
      <c r="I107" s="3">
        <v>23641.8</v>
      </c>
    </row>
    <row r="108" spans="1:9" x14ac:dyDescent="0.25">
      <c r="A108" t="s">
        <v>107</v>
      </c>
      <c r="B108" s="2">
        <v>45747</v>
      </c>
      <c r="C108" s="3">
        <v>1290.2</v>
      </c>
      <c r="D108" s="3">
        <v>12968274.1</v>
      </c>
      <c r="E108" s="4">
        <v>102.44</v>
      </c>
      <c r="F108" s="4">
        <v>74.22</v>
      </c>
      <c r="G108" s="5">
        <v>101.41274333333332</v>
      </c>
      <c r="H108" s="15">
        <v>25.696999999999999</v>
      </c>
      <c r="I108" s="3">
        <v>23650.2</v>
      </c>
    </row>
    <row r="109" spans="1:9" x14ac:dyDescent="0.25">
      <c r="A109" t="s">
        <v>108</v>
      </c>
      <c r="B109" s="2">
        <v>45838</v>
      </c>
      <c r="C109" s="3">
        <v>1468.2</v>
      </c>
      <c r="D109" s="3">
        <v>12362402.300000001</v>
      </c>
      <c r="E109" s="4">
        <v>101.86</v>
      </c>
      <c r="F109" s="4">
        <v>77.026666666666657</v>
      </c>
      <c r="G109" s="5">
        <v>100.42519666666668</v>
      </c>
      <c r="H109" s="15">
        <v>24.442</v>
      </c>
      <c r="I109" s="3">
        <v>23884.6</v>
      </c>
    </row>
    <row r="110" spans="1:9" x14ac:dyDescent="0.25">
      <c r="A110" t="s">
        <v>109</v>
      </c>
      <c r="B110" s="2">
        <v>45930</v>
      </c>
      <c r="C110" s="3">
        <v>1365.9</v>
      </c>
      <c r="D110" s="3">
        <v>12745438.800000001</v>
      </c>
      <c r="E110" s="4">
        <v>102.62</v>
      </c>
      <c r="F110" s="4">
        <v>78.673333333333332</v>
      </c>
      <c r="G110" s="5">
        <v>99.526700000000005</v>
      </c>
      <c r="H110" s="15">
        <v>25.254000000000001</v>
      </c>
      <c r="I110" s="3">
        <v>24113</v>
      </c>
    </row>
    <row r="111" spans="1:9" x14ac:dyDescent="0.25">
      <c r="A111" t="s">
        <v>110</v>
      </c>
      <c r="B111" s="2">
        <v>46022</v>
      </c>
      <c r="C111" s="3">
        <v>1473.1</v>
      </c>
      <c r="D111" s="3">
        <v>13736186.5</v>
      </c>
      <c r="E111" s="4">
        <v>101.46</v>
      </c>
      <c r="F111" s="4">
        <v>77.676666666666677</v>
      </c>
      <c r="G111" s="5">
        <v>99.711633333333339</v>
      </c>
      <c r="H111" s="15">
        <v>27.512</v>
      </c>
      <c r="I111" s="3">
        <v>24125.5</v>
      </c>
    </row>
    <row r="112" spans="1:9" x14ac:dyDescent="0.25">
      <c r="A112" t="s">
        <v>111</v>
      </c>
      <c r="B112" s="2">
        <v>46112</v>
      </c>
      <c r="C112" s="3">
        <v>4675.7</v>
      </c>
      <c r="D112" s="3">
        <v>13316476.300000001</v>
      </c>
      <c r="E112" s="4">
        <v>102.69</v>
      </c>
      <c r="F112" s="4">
        <v>77.203333333333333</v>
      </c>
      <c r="G112" s="5">
        <v>98.926360000000003</v>
      </c>
      <c r="H112" s="15">
        <v>27.535</v>
      </c>
      <c r="I112" s="3">
        <v>24274.400000000001</v>
      </c>
    </row>
    <row r="113" spans="1:9" x14ac:dyDescent="0.25">
      <c r="A113" t="s">
        <v>112</v>
      </c>
      <c r="B113" s="2">
        <v>46203</v>
      </c>
      <c r="C113" s="3">
        <v>1540.3</v>
      </c>
      <c r="D113" s="3">
        <v>12563596.199999999</v>
      </c>
      <c r="E113" s="4">
        <v>97.04</v>
      </c>
      <c r="F113" s="4">
        <v>73.929999999999993</v>
      </c>
      <c r="G113" s="5">
        <v>99.443230000000014</v>
      </c>
      <c r="H113" s="15">
        <v>27.48</v>
      </c>
      <c r="I113" s="3">
        <v>24408</v>
      </c>
    </row>
    <row r="114" spans="1:9" x14ac:dyDescent="0.25">
      <c r="A114" t="s">
        <v>113</v>
      </c>
      <c r="B114" s="2">
        <v>46295</v>
      </c>
      <c r="C114" s="3" t="e">
        <v>#N/A</v>
      </c>
      <c r="D114" s="3" t="e">
        <v>#N/A</v>
      </c>
      <c r="E114" s="4" t="e">
        <v>#N/A</v>
      </c>
      <c r="F114" s="4" t="e">
        <v>#N/A</v>
      </c>
      <c r="G114" s="5">
        <v>99.491846666666675</v>
      </c>
      <c r="H114" s="15" t="e">
        <v>#N/A</v>
      </c>
      <c r="I114" s="3" t="e">
        <v>#N/A</v>
      </c>
    </row>
  </sheetData>
  <hyperlinks>
    <hyperlink ref="D1" r:id="rId1" xr:uid="{40A4B21C-06D4-40B5-9BDD-3531B44FD3A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09FE0-7770-4A80-8242-ECDB547BC0FA}">
  <dimension ref="A1:K99"/>
  <sheetViews>
    <sheetView topLeftCell="A74" workbookViewId="0">
      <selection activeCell="C90" sqref="C90:C91"/>
    </sheetView>
  </sheetViews>
  <sheetFormatPr defaultRowHeight="12.5" x14ac:dyDescent="0.25"/>
  <cols>
    <col min="16" max="16" width="12.1796875" bestFit="1" customWidth="1"/>
  </cols>
  <sheetData>
    <row r="1" spans="1:11" x14ac:dyDescent="0.25">
      <c r="A1" t="s">
        <v>144</v>
      </c>
      <c r="B1" t="s">
        <v>146</v>
      </c>
      <c r="C1" t="s">
        <v>146</v>
      </c>
      <c r="D1" t="s">
        <v>146</v>
      </c>
      <c r="E1" t="s">
        <v>146</v>
      </c>
      <c r="F1" t="s">
        <v>146</v>
      </c>
      <c r="G1" s="6" t="s">
        <v>149</v>
      </c>
      <c r="H1" s="6" t="s">
        <v>149</v>
      </c>
      <c r="I1" t="s">
        <v>146</v>
      </c>
      <c r="J1" t="s">
        <v>146</v>
      </c>
    </row>
    <row r="2" spans="1:11" x14ac:dyDescent="0.25">
      <c r="A2" t="s">
        <v>145</v>
      </c>
      <c r="B2" t="s">
        <v>246</v>
      </c>
      <c r="C2" t="s">
        <v>245</v>
      </c>
      <c r="D2" t="s">
        <v>244</v>
      </c>
      <c r="E2" t="s">
        <v>147</v>
      </c>
      <c r="F2" t="s">
        <v>148</v>
      </c>
      <c r="G2" t="s">
        <v>148</v>
      </c>
      <c r="H2" t="s">
        <v>243</v>
      </c>
      <c r="I2" s="11" t="s">
        <v>249</v>
      </c>
      <c r="J2" s="11" t="s">
        <v>250</v>
      </c>
      <c r="K2" s="11"/>
    </row>
    <row r="3" spans="1:11" x14ac:dyDescent="0.25">
      <c r="A3" t="s">
        <v>258</v>
      </c>
      <c r="B3" s="10" t="s">
        <v>259</v>
      </c>
      <c r="C3" s="10" t="s">
        <v>260</v>
      </c>
      <c r="D3" s="10" t="s">
        <v>261</v>
      </c>
      <c r="E3" s="10" t="s">
        <v>261</v>
      </c>
      <c r="F3" s="10" t="s">
        <v>262</v>
      </c>
      <c r="G3" s="10" t="s">
        <v>263</v>
      </c>
      <c r="H3" s="11"/>
      <c r="I3" s="11"/>
      <c r="J3" s="10" t="s">
        <v>264</v>
      </c>
      <c r="K3" s="11"/>
    </row>
    <row r="4" spans="1:11" x14ac:dyDescent="0.25">
      <c r="A4" s="7" t="s">
        <v>150</v>
      </c>
      <c r="B4" s="12" t="s">
        <v>242</v>
      </c>
      <c r="C4" s="11">
        <v>5870858.2000000002</v>
      </c>
      <c r="D4" s="11" t="s">
        <v>242</v>
      </c>
      <c r="E4" s="11">
        <v>42.544686666666699</v>
      </c>
      <c r="F4" s="11" t="s">
        <v>242</v>
      </c>
      <c r="G4" s="11">
        <v>-76.400000000000006</v>
      </c>
      <c r="H4" s="11">
        <v>360282.35144490999</v>
      </c>
      <c r="I4" s="11" t="s">
        <v>242</v>
      </c>
      <c r="J4" s="11">
        <v>468.16500000000002</v>
      </c>
      <c r="K4" s="10"/>
    </row>
    <row r="5" spans="1:11" x14ac:dyDescent="0.25">
      <c r="A5" s="7" t="s">
        <v>151</v>
      </c>
      <c r="B5" s="12" t="s">
        <v>242</v>
      </c>
      <c r="C5" s="11">
        <v>5925817.2999999998</v>
      </c>
      <c r="D5" s="11" t="s">
        <v>242</v>
      </c>
      <c r="E5" s="11">
        <v>43.809640000000002</v>
      </c>
      <c r="F5" s="11" t="s">
        <v>242</v>
      </c>
      <c r="G5" s="11">
        <v>-29.9</v>
      </c>
      <c r="H5" s="11">
        <v>383947.68265685998</v>
      </c>
      <c r="I5" s="11" t="s">
        <v>242</v>
      </c>
      <c r="J5" s="11">
        <v>477.79500000000002</v>
      </c>
      <c r="K5" s="10"/>
    </row>
    <row r="6" spans="1:11" x14ac:dyDescent="0.25">
      <c r="A6" s="7" t="s">
        <v>152</v>
      </c>
      <c r="B6" s="12" t="s">
        <v>242</v>
      </c>
      <c r="C6" s="11">
        <v>6028644.5999999996</v>
      </c>
      <c r="D6" s="11" t="s">
        <v>242</v>
      </c>
      <c r="E6" s="11">
        <v>45.106013333333301</v>
      </c>
      <c r="F6" s="11" t="s">
        <v>242</v>
      </c>
      <c r="G6" s="11">
        <v>-333.8</v>
      </c>
      <c r="H6" s="11">
        <v>364780.61504370999</v>
      </c>
      <c r="I6" s="11" t="s">
        <v>242</v>
      </c>
      <c r="J6" s="11">
        <v>487.18</v>
      </c>
      <c r="K6" s="10"/>
    </row>
    <row r="7" spans="1:11" x14ac:dyDescent="0.25">
      <c r="A7" s="7" t="s">
        <v>153</v>
      </c>
      <c r="B7" s="12" t="s">
        <v>242</v>
      </c>
      <c r="C7" s="11">
        <v>6116177.2999999998</v>
      </c>
      <c r="D7" s="11" t="s">
        <v>242</v>
      </c>
      <c r="E7" s="11">
        <v>46.561160000000001</v>
      </c>
      <c r="F7" s="11" t="s">
        <v>242</v>
      </c>
      <c r="G7" s="11">
        <v>-410.9</v>
      </c>
      <c r="H7" s="11">
        <v>360147.48444193002</v>
      </c>
      <c r="I7" s="11" t="s">
        <v>242</v>
      </c>
      <c r="J7" s="11">
        <v>496.68</v>
      </c>
      <c r="K7" s="10"/>
    </row>
    <row r="8" spans="1:11" x14ac:dyDescent="0.25">
      <c r="A8" s="7" t="s">
        <v>154</v>
      </c>
      <c r="B8" s="12" t="s">
        <v>242</v>
      </c>
      <c r="C8" s="11">
        <v>6195298.5</v>
      </c>
      <c r="D8" s="11" t="s">
        <v>242</v>
      </c>
      <c r="E8" s="11">
        <v>47.985476666666699</v>
      </c>
      <c r="F8" s="11" t="s">
        <v>242</v>
      </c>
      <c r="G8" s="11">
        <v>-62.6</v>
      </c>
      <c r="H8" s="11">
        <v>400340.29355240002</v>
      </c>
      <c r="I8" s="11" t="s">
        <v>242</v>
      </c>
      <c r="J8" s="11">
        <v>505.435</v>
      </c>
      <c r="K8" s="10"/>
    </row>
    <row r="9" spans="1:11" x14ac:dyDescent="0.25">
      <c r="A9" s="7" t="s">
        <v>155</v>
      </c>
      <c r="B9" s="12" t="s">
        <v>242</v>
      </c>
      <c r="C9" s="11">
        <v>6347795</v>
      </c>
      <c r="D9" s="11" t="s">
        <v>242</v>
      </c>
      <c r="E9" s="11">
        <v>49.055056666666701</v>
      </c>
      <c r="F9" s="11" t="s">
        <v>242</v>
      </c>
      <c r="G9" s="11">
        <v>-76.400000000000006</v>
      </c>
      <c r="H9" s="11">
        <v>404513.58609374001</v>
      </c>
      <c r="I9" s="11" t="s">
        <v>242</v>
      </c>
      <c r="J9" s="11">
        <v>512.995</v>
      </c>
      <c r="K9" s="10"/>
    </row>
    <row r="10" spans="1:11" x14ac:dyDescent="0.25">
      <c r="A10" s="7" t="s">
        <v>156</v>
      </c>
      <c r="B10" s="12" t="s">
        <v>242</v>
      </c>
      <c r="C10" s="11">
        <v>6484347.2999999998</v>
      </c>
      <c r="D10" s="11" t="s">
        <v>242</v>
      </c>
      <c r="E10" s="11">
        <v>50.349449999999997</v>
      </c>
      <c r="F10" s="11" t="s">
        <v>242</v>
      </c>
      <c r="G10" s="11">
        <v>-392.4</v>
      </c>
      <c r="H10" s="11">
        <v>390985.50858081999</v>
      </c>
      <c r="I10" s="11" t="s">
        <v>242</v>
      </c>
      <c r="J10" s="11">
        <v>520.89499999999998</v>
      </c>
      <c r="K10" s="10"/>
    </row>
    <row r="11" spans="1:11" x14ac:dyDescent="0.25">
      <c r="A11" s="7" t="s">
        <v>157</v>
      </c>
      <c r="B11" s="12" t="s">
        <v>242</v>
      </c>
      <c r="C11" s="11">
        <v>6673545.9000000004</v>
      </c>
      <c r="D11" s="11" t="s">
        <v>242</v>
      </c>
      <c r="E11" s="11">
        <v>51.051936666666698</v>
      </c>
      <c r="F11" s="11" t="s">
        <v>242</v>
      </c>
      <c r="G11" s="11">
        <v>-400.4</v>
      </c>
      <c r="H11" s="11">
        <v>401838.95151859999</v>
      </c>
      <c r="I11" s="11" t="s">
        <v>242</v>
      </c>
      <c r="J11" s="11">
        <v>517.89499999999998</v>
      </c>
      <c r="K11" s="10"/>
    </row>
    <row r="12" spans="1:11" x14ac:dyDescent="0.25">
      <c r="A12" s="7" t="s">
        <v>158</v>
      </c>
      <c r="B12" s="12" t="s">
        <v>242</v>
      </c>
      <c r="C12" s="11">
        <v>6752685.7999999998</v>
      </c>
      <c r="D12" s="11" t="s">
        <v>242</v>
      </c>
      <c r="E12" s="11">
        <v>52.308646666666696</v>
      </c>
      <c r="F12" s="11" t="s">
        <v>242</v>
      </c>
      <c r="G12" s="11">
        <v>-191.3</v>
      </c>
      <c r="H12" s="11">
        <v>425658.56853987998</v>
      </c>
      <c r="I12" s="11" t="s">
        <v>242</v>
      </c>
      <c r="J12" s="11">
        <v>518.79999999999995</v>
      </c>
      <c r="K12" s="10"/>
    </row>
    <row r="13" spans="1:11" x14ac:dyDescent="0.25">
      <c r="A13" s="7" t="s">
        <v>159</v>
      </c>
      <c r="B13" s="12" t="s">
        <v>242</v>
      </c>
      <c r="C13" s="11">
        <v>6926944</v>
      </c>
      <c r="D13" s="11" t="s">
        <v>242</v>
      </c>
      <c r="E13" s="11">
        <v>53.578569999999999</v>
      </c>
      <c r="F13" s="11" t="s">
        <v>242</v>
      </c>
      <c r="G13" s="11">
        <v>-171.4</v>
      </c>
      <c r="H13" s="11">
        <v>429351.00699863001</v>
      </c>
      <c r="I13" s="11" t="s">
        <v>242</v>
      </c>
      <c r="J13" s="11">
        <v>518.625</v>
      </c>
      <c r="K13" s="10"/>
    </row>
    <row r="14" spans="1:11" x14ac:dyDescent="0.25">
      <c r="A14" s="7" t="s">
        <v>160</v>
      </c>
      <c r="B14" s="12" t="s">
        <v>242</v>
      </c>
      <c r="C14" s="11">
        <v>7006632</v>
      </c>
      <c r="D14" s="11" t="s">
        <v>242</v>
      </c>
      <c r="E14" s="11">
        <v>54.838236666666702</v>
      </c>
      <c r="F14" s="11" t="s">
        <v>242</v>
      </c>
      <c r="G14" s="11">
        <v>-467.5</v>
      </c>
      <c r="H14" s="11">
        <v>391967.57984165999</v>
      </c>
      <c r="I14" s="11" t="s">
        <v>242</v>
      </c>
      <c r="J14" s="11">
        <v>518.56500000000005</v>
      </c>
      <c r="K14" s="10"/>
    </row>
    <row r="15" spans="1:11" x14ac:dyDescent="0.25">
      <c r="A15" s="7" t="s">
        <v>161</v>
      </c>
      <c r="B15" s="12" t="s">
        <v>242</v>
      </c>
      <c r="C15" s="11">
        <v>7136293.2999999998</v>
      </c>
      <c r="D15" s="11" t="s">
        <v>242</v>
      </c>
      <c r="E15" s="11">
        <v>56.284743333333303</v>
      </c>
      <c r="F15" s="11" t="s">
        <v>242</v>
      </c>
      <c r="G15" s="11">
        <v>-675.6</v>
      </c>
      <c r="H15" s="11">
        <v>392330.37379678001</v>
      </c>
      <c r="I15" s="11" t="s">
        <v>242</v>
      </c>
      <c r="J15" s="11">
        <v>498.1</v>
      </c>
      <c r="K15" s="10"/>
    </row>
    <row r="16" spans="1:11" x14ac:dyDescent="0.25">
      <c r="A16" s="7" t="s">
        <v>162</v>
      </c>
      <c r="B16" s="12" t="s">
        <v>242</v>
      </c>
      <c r="C16" s="11">
        <v>7285070.7999999998</v>
      </c>
      <c r="D16" s="11" t="s">
        <v>242</v>
      </c>
      <c r="E16" s="11">
        <v>58.062463333333298</v>
      </c>
      <c r="F16" s="11" t="s">
        <v>242</v>
      </c>
      <c r="G16" s="11">
        <v>-343.8</v>
      </c>
      <c r="H16" s="11">
        <v>404857.36916430999</v>
      </c>
      <c r="I16" s="11" t="s">
        <v>242</v>
      </c>
      <c r="J16" s="11">
        <v>494.65499999999997</v>
      </c>
      <c r="K16" s="10"/>
    </row>
    <row r="17" spans="1:11" x14ac:dyDescent="0.25">
      <c r="A17" s="7" t="s">
        <v>163</v>
      </c>
      <c r="B17" s="12" t="s">
        <v>242</v>
      </c>
      <c r="C17" s="11">
        <v>7279921.2000000002</v>
      </c>
      <c r="D17" s="11" t="s">
        <v>242</v>
      </c>
      <c r="E17" s="11">
        <v>59.949943333333302</v>
      </c>
      <c r="F17" s="11" t="s">
        <v>242</v>
      </c>
      <c r="G17" s="11">
        <v>-819.8</v>
      </c>
      <c r="H17" s="11">
        <v>422126.85278999002</v>
      </c>
      <c r="I17" s="11" t="s">
        <v>242</v>
      </c>
      <c r="J17" s="11">
        <v>519.54999999999995</v>
      </c>
      <c r="K17" s="10"/>
    </row>
    <row r="18" spans="1:11" x14ac:dyDescent="0.25">
      <c r="A18" s="7" t="s">
        <v>164</v>
      </c>
      <c r="B18" s="12" t="s">
        <v>242</v>
      </c>
      <c r="C18" s="11">
        <v>7320547.2000000002</v>
      </c>
      <c r="D18" s="11" t="s">
        <v>242</v>
      </c>
      <c r="E18" s="11">
        <v>63.127943333333299</v>
      </c>
      <c r="F18" s="11" t="s">
        <v>242</v>
      </c>
      <c r="G18" s="11">
        <v>-770.7</v>
      </c>
      <c r="H18" s="11">
        <v>400327.08556824998</v>
      </c>
      <c r="I18" s="11" t="s">
        <v>242</v>
      </c>
      <c r="J18" s="11">
        <v>554.42499999999995</v>
      </c>
      <c r="K18" s="10"/>
    </row>
    <row r="19" spans="1:11" x14ac:dyDescent="0.25">
      <c r="A19" s="7" t="s">
        <v>165</v>
      </c>
      <c r="B19" s="12" t="s">
        <v>242</v>
      </c>
      <c r="C19" s="11">
        <v>7247138.9000000004</v>
      </c>
      <c r="D19" s="11" t="s">
        <v>242</v>
      </c>
      <c r="E19" s="11">
        <v>65.002703333333301</v>
      </c>
      <c r="F19" s="11" t="s">
        <v>242</v>
      </c>
      <c r="G19" s="11">
        <v>-642.70000000000005</v>
      </c>
      <c r="H19" s="11">
        <v>413630.68913552997</v>
      </c>
      <c r="I19" s="11" t="s">
        <v>242</v>
      </c>
      <c r="J19" s="11">
        <v>555.46500000000003</v>
      </c>
      <c r="K19" s="10"/>
    </row>
    <row r="20" spans="1:11" x14ac:dyDescent="0.25">
      <c r="A20" s="7" t="s">
        <v>166</v>
      </c>
      <c r="B20" s="12" t="s">
        <v>242</v>
      </c>
      <c r="C20" s="11">
        <v>7061854.7000000002</v>
      </c>
      <c r="D20" s="11" t="s">
        <v>242</v>
      </c>
      <c r="E20" s="11">
        <v>65.525829999999999</v>
      </c>
      <c r="F20" s="11" t="s">
        <v>242</v>
      </c>
      <c r="G20" s="11">
        <v>62.4</v>
      </c>
      <c r="H20" s="11">
        <v>400793.46158538002</v>
      </c>
      <c r="I20" s="11" t="s">
        <v>242</v>
      </c>
      <c r="J20" s="11">
        <v>563.38499999999999</v>
      </c>
      <c r="K20" s="10"/>
    </row>
    <row r="21" spans="1:11" x14ac:dyDescent="0.25">
      <c r="A21" s="7" t="s">
        <v>167</v>
      </c>
      <c r="B21" s="12" t="s">
        <v>242</v>
      </c>
      <c r="C21" s="11">
        <v>7167779.5</v>
      </c>
      <c r="D21" s="11" t="s">
        <v>242</v>
      </c>
      <c r="E21" s="11">
        <v>65.827366666666705</v>
      </c>
      <c r="F21" s="11" t="s">
        <v>242</v>
      </c>
      <c r="G21" s="11">
        <v>104</v>
      </c>
      <c r="H21" s="11">
        <v>430114.03279656998</v>
      </c>
      <c r="I21" s="11" t="s">
        <v>242</v>
      </c>
      <c r="J21" s="11">
        <v>575.26</v>
      </c>
      <c r="K21" s="10"/>
    </row>
    <row r="22" spans="1:11" x14ac:dyDescent="0.25">
      <c r="A22" s="7" t="s">
        <v>168</v>
      </c>
      <c r="B22" s="12" t="s">
        <v>242</v>
      </c>
      <c r="C22" s="11">
        <v>7258143.2999999998</v>
      </c>
      <c r="D22" s="11" t="s">
        <v>242</v>
      </c>
      <c r="E22" s="11">
        <v>66.793506666666701</v>
      </c>
      <c r="F22" s="11" t="s">
        <v>242</v>
      </c>
      <c r="G22" s="11">
        <v>-224.7</v>
      </c>
      <c r="H22" s="11">
        <v>427522.57719565998</v>
      </c>
      <c r="I22" s="11" t="s">
        <v>242</v>
      </c>
      <c r="J22" s="11">
        <v>587.11</v>
      </c>
      <c r="K22" s="10"/>
    </row>
    <row r="23" spans="1:11" x14ac:dyDescent="0.25">
      <c r="A23" s="7" t="s">
        <v>169</v>
      </c>
      <c r="B23" s="12" t="s">
        <v>242</v>
      </c>
      <c r="C23" s="11">
        <v>7378682</v>
      </c>
      <c r="D23" s="11" t="s">
        <v>242</v>
      </c>
      <c r="E23" s="11">
        <v>67.300749999999994</v>
      </c>
      <c r="F23" s="11" t="s">
        <v>242</v>
      </c>
      <c r="G23" s="11">
        <v>-494.6</v>
      </c>
      <c r="H23" s="11">
        <v>442319.04381030001</v>
      </c>
      <c r="I23" s="11" t="s">
        <v>242</v>
      </c>
      <c r="J23" s="11">
        <v>565.24</v>
      </c>
      <c r="K23" s="10"/>
    </row>
    <row r="24" spans="1:11" x14ac:dyDescent="0.25">
      <c r="A24" s="7" t="s">
        <v>170</v>
      </c>
      <c r="B24" s="12" t="s">
        <v>242</v>
      </c>
      <c r="C24" s="11">
        <v>7459905.2000000002</v>
      </c>
      <c r="D24" s="11" t="s">
        <v>242</v>
      </c>
      <c r="E24" s="11">
        <v>69.192053333333305</v>
      </c>
      <c r="F24" s="11" t="s">
        <v>242</v>
      </c>
      <c r="G24" s="11">
        <v>66.5</v>
      </c>
      <c r="H24" s="11">
        <v>469693.18336361001</v>
      </c>
      <c r="I24" s="11" t="s">
        <v>242</v>
      </c>
      <c r="J24" s="11">
        <v>523.64499999999998</v>
      </c>
      <c r="K24" s="10"/>
    </row>
    <row r="25" spans="1:11" x14ac:dyDescent="0.25">
      <c r="A25" s="7" t="s">
        <v>171</v>
      </c>
      <c r="B25" s="12" t="s">
        <v>242</v>
      </c>
      <c r="C25" s="11">
        <v>7551715.4000000004</v>
      </c>
      <c r="D25" s="11" t="s">
        <v>242</v>
      </c>
      <c r="E25" s="11">
        <v>69.799126666666695</v>
      </c>
      <c r="F25" s="11" t="s">
        <v>242</v>
      </c>
      <c r="G25" s="11">
        <v>-183.4</v>
      </c>
      <c r="H25" s="11">
        <v>465163.48190209002</v>
      </c>
      <c r="I25" s="11" t="s">
        <v>242</v>
      </c>
      <c r="J25" s="11">
        <v>535.07500000000005</v>
      </c>
      <c r="K25" s="10"/>
    </row>
    <row r="26" spans="1:11" x14ac:dyDescent="0.25">
      <c r="A26" s="7" t="s">
        <v>172</v>
      </c>
      <c r="B26" s="12" t="s">
        <v>242</v>
      </c>
      <c r="C26" s="11">
        <v>7676535</v>
      </c>
      <c r="D26" s="11" t="s">
        <v>242</v>
      </c>
      <c r="E26" s="11">
        <v>70.330493333333294</v>
      </c>
      <c r="F26" s="11" t="s">
        <v>242</v>
      </c>
      <c r="G26" s="11">
        <v>-374.3</v>
      </c>
      <c r="H26" s="11">
        <v>480660.33007089002</v>
      </c>
      <c r="I26" s="11" t="s">
        <v>242</v>
      </c>
      <c r="J26" s="11">
        <v>507.745</v>
      </c>
      <c r="K26" s="10"/>
    </row>
    <row r="27" spans="1:11" x14ac:dyDescent="0.25">
      <c r="A27" s="7" t="s">
        <v>173</v>
      </c>
      <c r="B27" s="12" t="s">
        <v>242</v>
      </c>
      <c r="C27" s="11">
        <v>7729735.4000000004</v>
      </c>
      <c r="D27" s="11" t="s">
        <v>242</v>
      </c>
      <c r="E27" s="11">
        <v>71.157143333333295</v>
      </c>
      <c r="F27" s="11" t="s">
        <v>242</v>
      </c>
      <c r="G27" s="11">
        <v>-717.8</v>
      </c>
      <c r="H27" s="11">
        <v>479309.27413141</v>
      </c>
      <c r="I27" s="11" t="s">
        <v>242</v>
      </c>
      <c r="J27" s="11">
        <v>512.97</v>
      </c>
      <c r="K27" s="10"/>
    </row>
    <row r="28" spans="1:11" x14ac:dyDescent="0.25">
      <c r="A28" s="7" t="s">
        <v>174</v>
      </c>
      <c r="B28" s="12" t="s">
        <v>242</v>
      </c>
      <c r="C28" s="11">
        <v>7784172.5</v>
      </c>
      <c r="D28" s="11" t="s">
        <v>242</v>
      </c>
      <c r="E28" s="11">
        <v>72.419016666666707</v>
      </c>
      <c r="F28" s="11" t="s">
        <v>242</v>
      </c>
      <c r="G28" s="11">
        <v>-173</v>
      </c>
      <c r="H28" s="11">
        <v>517431.44514387997</v>
      </c>
      <c r="I28" s="11" t="s">
        <v>242</v>
      </c>
      <c r="J28" s="11">
        <v>500.91</v>
      </c>
      <c r="K28" s="10"/>
    </row>
    <row r="29" spans="1:11" x14ac:dyDescent="0.25">
      <c r="A29" s="7" t="s">
        <v>175</v>
      </c>
      <c r="B29" s="12" t="s">
        <v>242</v>
      </c>
      <c r="C29" s="11">
        <v>7943305.7999999998</v>
      </c>
      <c r="D29" s="11" t="s">
        <v>242</v>
      </c>
      <c r="E29" s="11">
        <v>73.220399999999998</v>
      </c>
      <c r="F29" s="11" t="s">
        <v>242</v>
      </c>
      <c r="G29" s="11">
        <v>-248.8</v>
      </c>
      <c r="H29" s="11">
        <v>509089.94668365997</v>
      </c>
      <c r="I29" s="11" t="s">
        <v>242</v>
      </c>
      <c r="J29" s="11">
        <v>504.09</v>
      </c>
      <c r="K29" s="10"/>
    </row>
    <row r="30" spans="1:11" x14ac:dyDescent="0.25">
      <c r="A30" s="7" t="s">
        <v>176</v>
      </c>
      <c r="B30" s="12" t="s">
        <v>242</v>
      </c>
      <c r="C30" s="11">
        <v>7961734.2999999998</v>
      </c>
      <c r="D30" s="11" t="s">
        <v>242</v>
      </c>
      <c r="E30" s="11">
        <v>73.992473333333294</v>
      </c>
      <c r="F30" s="11" t="s">
        <v>242</v>
      </c>
      <c r="G30" s="11">
        <v>-888.6</v>
      </c>
      <c r="H30" s="11">
        <v>486021.30224203999</v>
      </c>
      <c r="I30" s="11" t="s">
        <v>242</v>
      </c>
      <c r="J30" s="11">
        <v>514.11500000000001</v>
      </c>
      <c r="K30" s="10"/>
    </row>
    <row r="31" spans="1:11" x14ac:dyDescent="0.25">
      <c r="A31" s="7" t="s">
        <v>177</v>
      </c>
      <c r="B31" s="12" t="s">
        <v>242</v>
      </c>
      <c r="C31" s="11">
        <v>8069350.7000000002</v>
      </c>
      <c r="D31" s="11" t="s">
        <v>242</v>
      </c>
      <c r="E31" s="11">
        <v>74.529103333333296</v>
      </c>
      <c r="F31" s="11" t="s">
        <v>242</v>
      </c>
      <c r="G31" s="11">
        <v>-968.2</v>
      </c>
      <c r="H31" s="11">
        <v>475778.34585849999</v>
      </c>
      <c r="I31" s="11" t="s">
        <v>242</v>
      </c>
      <c r="J31" s="11">
        <v>511.84</v>
      </c>
      <c r="K31" s="10"/>
    </row>
    <row r="32" spans="1:11" x14ac:dyDescent="0.25">
      <c r="A32" s="7" t="s">
        <v>178</v>
      </c>
      <c r="B32" s="12" t="s">
        <v>242</v>
      </c>
      <c r="C32" s="11">
        <v>8232114.5999999996</v>
      </c>
      <c r="D32" s="11" t="s">
        <v>242</v>
      </c>
      <c r="E32" s="11">
        <v>75.430473333333296</v>
      </c>
      <c r="F32" s="11" t="s">
        <v>242</v>
      </c>
      <c r="G32" s="11">
        <v>-455.2</v>
      </c>
      <c r="H32" s="11">
        <v>486353.28175854997</v>
      </c>
      <c r="I32" s="11" t="s">
        <v>242</v>
      </c>
      <c r="J32" s="11">
        <v>508.08</v>
      </c>
      <c r="K32" s="10"/>
    </row>
    <row r="33" spans="1:11" x14ac:dyDescent="0.25">
      <c r="A33" s="7" t="s">
        <v>179</v>
      </c>
      <c r="B33" s="12" t="s">
        <v>242</v>
      </c>
      <c r="C33" s="11">
        <v>8282783.2999999998</v>
      </c>
      <c r="D33" s="11" t="s">
        <v>242</v>
      </c>
      <c r="E33" s="11">
        <v>76.724526666666705</v>
      </c>
      <c r="F33" s="11" t="s">
        <v>242</v>
      </c>
      <c r="G33" s="11">
        <v>-343.4</v>
      </c>
      <c r="H33" s="11">
        <v>503702.06757191999</v>
      </c>
      <c r="I33" s="11" t="s">
        <v>242</v>
      </c>
      <c r="J33" s="11">
        <v>498.21</v>
      </c>
      <c r="K33" s="10"/>
    </row>
    <row r="34" spans="1:11" x14ac:dyDescent="0.25">
      <c r="A34" s="7" t="s">
        <v>180</v>
      </c>
      <c r="B34" s="12" t="s">
        <v>242</v>
      </c>
      <c r="C34" s="11">
        <v>8337779</v>
      </c>
      <c r="D34" s="11" t="s">
        <v>242</v>
      </c>
      <c r="E34" s="11">
        <v>77.111526666666705</v>
      </c>
      <c r="F34" s="11" t="s">
        <v>242</v>
      </c>
      <c r="G34" s="11">
        <v>-613.9</v>
      </c>
      <c r="H34" s="11">
        <v>480332.97779918002</v>
      </c>
      <c r="I34" s="11" t="s">
        <v>242</v>
      </c>
      <c r="J34" s="11">
        <v>497.86500000000001</v>
      </c>
      <c r="K34" s="10"/>
    </row>
    <row r="35" spans="1:11" x14ac:dyDescent="0.25">
      <c r="A35" s="7" t="s">
        <v>181</v>
      </c>
      <c r="B35" s="12" t="s">
        <v>242</v>
      </c>
      <c r="C35" s="11">
        <v>8447169.5999999996</v>
      </c>
      <c r="D35" s="11" t="s">
        <v>242</v>
      </c>
      <c r="E35" s="11">
        <v>78.118650000000002</v>
      </c>
      <c r="F35" s="11" t="s">
        <v>242</v>
      </c>
      <c r="G35" s="11">
        <v>-998.5</v>
      </c>
      <c r="H35" s="11">
        <v>498897.81412473001</v>
      </c>
      <c r="I35" s="11" t="s">
        <v>242</v>
      </c>
      <c r="J35" s="11">
        <v>508.19499999999999</v>
      </c>
      <c r="K35" s="10"/>
    </row>
    <row r="36" spans="1:11" x14ac:dyDescent="0.25">
      <c r="A36" s="7" t="s">
        <v>182</v>
      </c>
      <c r="B36" s="12" t="s">
        <v>242</v>
      </c>
      <c r="C36" s="11">
        <v>8461756.1999999993</v>
      </c>
      <c r="D36" s="11" t="s">
        <v>242</v>
      </c>
      <c r="E36" s="11">
        <v>80.071896666666703</v>
      </c>
      <c r="F36" s="11" t="s">
        <v>242</v>
      </c>
      <c r="G36" s="11">
        <v>-466.8</v>
      </c>
      <c r="H36" s="11">
        <v>494694.43691064999</v>
      </c>
      <c r="I36" s="11" t="s">
        <v>242</v>
      </c>
      <c r="J36" s="11">
        <v>498.685</v>
      </c>
      <c r="K36" s="10"/>
    </row>
    <row r="37" spans="1:11" x14ac:dyDescent="0.25">
      <c r="A37" s="7" t="s">
        <v>183</v>
      </c>
      <c r="B37" s="12" t="s">
        <v>242</v>
      </c>
      <c r="C37" s="11">
        <v>8440061.8000000007</v>
      </c>
      <c r="D37" s="11" t="s">
        <v>242</v>
      </c>
      <c r="E37" s="11">
        <v>81.000986666666705</v>
      </c>
      <c r="F37" s="11" t="s">
        <v>242</v>
      </c>
      <c r="G37" s="11">
        <v>-587.4</v>
      </c>
      <c r="H37" s="11">
        <v>505734.32571151003</v>
      </c>
      <c r="I37" s="11" t="s">
        <v>242</v>
      </c>
      <c r="J37" s="11">
        <v>498.78</v>
      </c>
      <c r="K37" s="10"/>
    </row>
    <row r="38" spans="1:11" x14ac:dyDescent="0.25">
      <c r="A38" s="7" t="s">
        <v>184</v>
      </c>
      <c r="B38" s="12" t="s">
        <v>242</v>
      </c>
      <c r="C38" s="11">
        <v>8595182.5999999996</v>
      </c>
      <c r="D38" s="11" t="s">
        <v>242</v>
      </c>
      <c r="E38" s="11">
        <v>81.350409999999997</v>
      </c>
      <c r="F38" s="11" t="s">
        <v>242</v>
      </c>
      <c r="G38" s="11">
        <v>-617.5</v>
      </c>
      <c r="H38" s="11">
        <v>513520.17440705001</v>
      </c>
      <c r="I38" s="11" t="s">
        <v>242</v>
      </c>
      <c r="J38" s="11">
        <v>499.54</v>
      </c>
      <c r="K38" s="10"/>
    </row>
    <row r="39" spans="1:11" x14ac:dyDescent="0.25">
      <c r="A39" s="7" t="s">
        <v>185</v>
      </c>
      <c r="B39" s="12" t="s">
        <v>242</v>
      </c>
      <c r="C39" s="11">
        <v>8641350.8000000007</v>
      </c>
      <c r="D39" s="11" t="s">
        <v>242</v>
      </c>
      <c r="E39" s="11">
        <v>81.041776666666706</v>
      </c>
      <c r="F39" s="11" t="s">
        <v>242</v>
      </c>
      <c r="G39" s="11">
        <v>-759.4</v>
      </c>
      <c r="H39" s="11">
        <v>547869.60468280001</v>
      </c>
      <c r="I39" s="11" t="s">
        <v>242</v>
      </c>
      <c r="J39" s="11">
        <v>501.40499999999997</v>
      </c>
      <c r="K39" s="10"/>
    </row>
    <row r="40" spans="1:11" x14ac:dyDescent="0.25">
      <c r="A40" s="7" t="s">
        <v>186</v>
      </c>
      <c r="B40" s="12" t="s">
        <v>242</v>
      </c>
      <c r="C40" s="11">
        <v>8748469.1999999993</v>
      </c>
      <c r="D40" s="11" t="s">
        <v>242</v>
      </c>
      <c r="E40" s="11">
        <v>82.501393333333297</v>
      </c>
      <c r="F40" s="11" t="s">
        <v>242</v>
      </c>
      <c r="G40" s="11">
        <v>-611.20000000000005</v>
      </c>
      <c r="H40" s="11">
        <v>516685.26583031</v>
      </c>
      <c r="I40" s="11" t="s">
        <v>242</v>
      </c>
      <c r="J40" s="11">
        <v>545.98500000000001</v>
      </c>
      <c r="K40" s="10"/>
    </row>
    <row r="41" spans="1:11" x14ac:dyDescent="0.25">
      <c r="A41" s="7" t="s">
        <v>187</v>
      </c>
      <c r="B41" s="12" t="s">
        <v>242</v>
      </c>
      <c r="C41" s="11">
        <v>8782738.5999999996</v>
      </c>
      <c r="D41" s="11" t="s">
        <v>242</v>
      </c>
      <c r="E41" s="11">
        <v>84.370323333333303</v>
      </c>
      <c r="F41" s="11" t="s">
        <v>242</v>
      </c>
      <c r="G41" s="11">
        <v>-570.4</v>
      </c>
      <c r="H41" s="11">
        <v>531526.29596778005</v>
      </c>
      <c r="I41" s="11" t="s">
        <v>242</v>
      </c>
      <c r="J41" s="11">
        <v>543.12</v>
      </c>
      <c r="K41" s="10"/>
    </row>
    <row r="42" spans="1:11" x14ac:dyDescent="0.25">
      <c r="A42" s="7" t="s">
        <v>188</v>
      </c>
      <c r="B42" s="12" t="s">
        <v>242</v>
      </c>
      <c r="C42" s="11">
        <v>8858334.9000000004</v>
      </c>
      <c r="D42" s="11" t="s">
        <v>242</v>
      </c>
      <c r="E42" s="11">
        <v>85.655119999999997</v>
      </c>
      <c r="F42" s="11" t="s">
        <v>242</v>
      </c>
      <c r="G42" s="11">
        <v>-700.2</v>
      </c>
      <c r="H42" s="11">
        <v>523030.05436410999</v>
      </c>
      <c r="I42" s="11" t="s">
        <v>242</v>
      </c>
      <c r="J42" s="11">
        <v>539.77</v>
      </c>
      <c r="K42" s="10"/>
    </row>
    <row r="43" spans="1:11" x14ac:dyDescent="0.25">
      <c r="A43" s="7" t="s">
        <v>189</v>
      </c>
      <c r="B43" s="12" t="s">
        <v>242</v>
      </c>
      <c r="C43" s="11">
        <v>8954903.0999999996</v>
      </c>
      <c r="D43" s="11" t="s">
        <v>242</v>
      </c>
      <c r="E43" s="11">
        <v>85.556749999999994</v>
      </c>
      <c r="F43" s="11" t="s">
        <v>242</v>
      </c>
      <c r="G43" s="11">
        <v>-571.29999999999995</v>
      </c>
      <c r="H43" s="11">
        <v>526959.68863839004</v>
      </c>
      <c r="I43" s="11" t="s">
        <v>242</v>
      </c>
      <c r="J43" s="11">
        <v>539.41999999999996</v>
      </c>
      <c r="K43" s="10"/>
    </row>
    <row r="44" spans="1:11" x14ac:dyDescent="0.25">
      <c r="A44" s="7" t="s">
        <v>190</v>
      </c>
      <c r="B44" s="12" t="s">
        <v>242</v>
      </c>
      <c r="C44" s="11">
        <v>8967681.9000000004</v>
      </c>
      <c r="D44" s="11" t="s">
        <v>242</v>
      </c>
      <c r="E44" s="11">
        <v>85.512906666666694</v>
      </c>
      <c r="F44" s="11" t="s">
        <v>242</v>
      </c>
      <c r="G44" s="11">
        <v>-255.5</v>
      </c>
      <c r="H44" s="11">
        <v>525024.21958302998</v>
      </c>
      <c r="I44" s="11" t="s">
        <v>242</v>
      </c>
      <c r="J44" s="11">
        <v>533.22</v>
      </c>
      <c r="K44" s="10"/>
    </row>
    <row r="45" spans="1:11" x14ac:dyDescent="0.25">
      <c r="A45" s="7" t="s">
        <v>191</v>
      </c>
      <c r="B45" s="12" t="s">
        <v>242</v>
      </c>
      <c r="C45" s="11">
        <v>9162652.6999999993</v>
      </c>
      <c r="D45" s="11" t="s">
        <v>242</v>
      </c>
      <c r="E45" s="11">
        <v>85.437406666666703</v>
      </c>
      <c r="F45" s="11" t="s">
        <v>242</v>
      </c>
      <c r="G45" s="11">
        <v>-436.4</v>
      </c>
      <c r="H45" s="11">
        <v>558634.88909739</v>
      </c>
      <c r="I45" s="11" t="s">
        <v>242</v>
      </c>
      <c r="J45" s="11">
        <v>534.84</v>
      </c>
      <c r="K45" s="10"/>
    </row>
    <row r="46" spans="1:11" x14ac:dyDescent="0.25">
      <c r="A46" s="7" t="s">
        <v>192</v>
      </c>
      <c r="B46" s="12" t="s">
        <v>242</v>
      </c>
      <c r="C46" s="11">
        <v>9274557.6999999993</v>
      </c>
      <c r="D46" s="11" t="s">
        <v>242</v>
      </c>
      <c r="E46" s="11">
        <v>85.105516666666702</v>
      </c>
      <c r="F46" s="11" t="s">
        <v>242</v>
      </c>
      <c r="G46" s="11">
        <v>-706.9</v>
      </c>
      <c r="H46" s="11">
        <v>559499.67669712997</v>
      </c>
      <c r="I46" s="11" t="s">
        <v>242</v>
      </c>
      <c r="J46" s="11">
        <v>534.83000000000004</v>
      </c>
      <c r="K46" s="10"/>
    </row>
    <row r="47" spans="1:11" x14ac:dyDescent="0.25">
      <c r="A47" s="7" t="s">
        <v>193</v>
      </c>
      <c r="B47" s="12" t="s">
        <v>242</v>
      </c>
      <c r="C47" s="11">
        <v>9237735.9000000004</v>
      </c>
      <c r="D47" s="11" t="s">
        <v>242</v>
      </c>
      <c r="E47" s="11">
        <v>84.738696666666698</v>
      </c>
      <c r="F47" s="11" t="s">
        <v>242</v>
      </c>
      <c r="G47" s="11">
        <v>-522.5</v>
      </c>
      <c r="H47" s="11">
        <v>600483.32022691995</v>
      </c>
      <c r="I47" s="11" t="s">
        <v>242</v>
      </c>
      <c r="J47" s="11">
        <v>538.40499999999997</v>
      </c>
      <c r="K47" s="10"/>
    </row>
    <row r="48" spans="1:11" x14ac:dyDescent="0.25">
      <c r="A48" s="8" t="s">
        <v>194</v>
      </c>
      <c r="B48" s="13" t="s">
        <v>242</v>
      </c>
      <c r="C48" s="11">
        <v>9461819.6999999993</v>
      </c>
      <c r="D48" s="11" t="s">
        <v>242</v>
      </c>
      <c r="E48" s="11">
        <v>85.144723333333303</v>
      </c>
      <c r="F48" s="11" t="s">
        <v>242</v>
      </c>
      <c r="G48" s="11">
        <v>25.9</v>
      </c>
      <c r="H48" s="11">
        <v>603630.41282730002</v>
      </c>
      <c r="I48" s="11" t="s">
        <v>242</v>
      </c>
      <c r="J48" s="11">
        <v>535.91</v>
      </c>
      <c r="K48" s="10"/>
    </row>
    <row r="49" spans="1:11" x14ac:dyDescent="0.25">
      <c r="A49" s="8" t="s">
        <v>195</v>
      </c>
      <c r="B49" s="13" t="s">
        <v>242</v>
      </c>
      <c r="C49" s="11">
        <v>9426904.3000000007</v>
      </c>
      <c r="D49" s="11" t="s">
        <v>242</v>
      </c>
      <c r="E49" s="11">
        <v>84.802246666666704</v>
      </c>
      <c r="F49" s="11" t="s">
        <v>242</v>
      </c>
      <c r="G49" s="11">
        <v>-309.8</v>
      </c>
      <c r="H49" s="11">
        <v>649145.57395887002</v>
      </c>
      <c r="I49" s="11" t="s">
        <v>242</v>
      </c>
      <c r="J49" s="11">
        <v>547.93499999999995</v>
      </c>
      <c r="K49" s="10"/>
    </row>
    <row r="50" spans="1:11" x14ac:dyDescent="0.25">
      <c r="A50" s="8" t="s">
        <v>196</v>
      </c>
      <c r="B50" s="13" t="s">
        <v>242</v>
      </c>
      <c r="C50" s="11">
        <v>9592859.8000000007</v>
      </c>
      <c r="D50" s="11" t="s">
        <v>242</v>
      </c>
      <c r="E50" s="11">
        <v>85.518960000000007</v>
      </c>
      <c r="F50" s="11" t="s">
        <v>242</v>
      </c>
      <c r="G50" s="11">
        <v>-429.7</v>
      </c>
      <c r="H50" s="11">
        <v>673286.12585893995</v>
      </c>
      <c r="I50" s="11" t="s">
        <v>242</v>
      </c>
      <c r="J50" s="11">
        <v>552.56500000000005</v>
      </c>
      <c r="K50" s="10"/>
    </row>
    <row r="51" spans="1:11" x14ac:dyDescent="0.25">
      <c r="A51" s="8" t="s">
        <v>197</v>
      </c>
      <c r="B51" s="13" t="s">
        <v>242</v>
      </c>
      <c r="C51" s="11">
        <v>9691765.9000000004</v>
      </c>
      <c r="D51" s="11" t="s">
        <v>242</v>
      </c>
      <c r="E51" s="11">
        <v>85.269053333333304</v>
      </c>
      <c r="F51" s="11" t="s">
        <v>242</v>
      </c>
      <c r="G51" s="11">
        <v>-543.79999999999995</v>
      </c>
      <c r="H51" s="11">
        <v>755334.68725097994</v>
      </c>
      <c r="I51" s="11" t="s">
        <v>242</v>
      </c>
      <c r="J51" s="11">
        <v>554.64</v>
      </c>
      <c r="K51" s="10"/>
    </row>
    <row r="52" spans="1:11" x14ac:dyDescent="0.25">
      <c r="A52" s="8" t="s">
        <v>198</v>
      </c>
      <c r="B52" s="13" t="s">
        <v>242</v>
      </c>
      <c r="C52" s="11">
        <v>9741496.3000000007</v>
      </c>
      <c r="D52" s="11" t="s">
        <v>242</v>
      </c>
      <c r="E52" s="11">
        <v>86.086543333333296</v>
      </c>
      <c r="F52" s="11" t="s">
        <v>242</v>
      </c>
      <c r="G52" s="11">
        <v>-472</v>
      </c>
      <c r="H52" s="11">
        <v>756791.49524568999</v>
      </c>
      <c r="I52" s="11" t="s">
        <v>242</v>
      </c>
      <c r="J52" s="11">
        <v>560.88499999999999</v>
      </c>
      <c r="K52" s="10"/>
    </row>
    <row r="53" spans="1:11" x14ac:dyDescent="0.25">
      <c r="A53" s="8" t="s">
        <v>199</v>
      </c>
      <c r="B53" s="13" t="s">
        <v>242</v>
      </c>
      <c r="C53" s="11">
        <v>9958908.5999999996</v>
      </c>
      <c r="D53" s="11" t="s">
        <v>242</v>
      </c>
      <c r="E53" s="11">
        <v>86.2408966666667</v>
      </c>
      <c r="F53" s="11" t="s">
        <v>242</v>
      </c>
      <c r="G53" s="11">
        <v>-334.3</v>
      </c>
      <c r="H53" s="11">
        <v>875253.74150483997</v>
      </c>
      <c r="I53" s="11" t="s">
        <v>242</v>
      </c>
      <c r="J53" s="11">
        <v>573.48</v>
      </c>
      <c r="K53" s="10"/>
    </row>
    <row r="54" spans="1:11" x14ac:dyDescent="0.25">
      <c r="A54" s="8" t="s">
        <v>200</v>
      </c>
      <c r="B54" s="13" t="s">
        <v>242</v>
      </c>
      <c r="C54" s="11">
        <v>9953043.3000000007</v>
      </c>
      <c r="D54" s="11" t="s">
        <v>242</v>
      </c>
      <c r="E54" s="11">
        <v>86.577076666666699</v>
      </c>
      <c r="F54" s="11" t="s">
        <v>242</v>
      </c>
      <c r="G54" s="11">
        <v>-627.79999999999995</v>
      </c>
      <c r="H54" s="11">
        <v>921114.91151383996</v>
      </c>
      <c r="I54" s="11" t="s">
        <v>242</v>
      </c>
      <c r="J54" s="11">
        <v>572.31500000000005</v>
      </c>
      <c r="K54" s="10"/>
    </row>
    <row r="55" spans="1:11" x14ac:dyDescent="0.25">
      <c r="A55" s="8" t="s">
        <v>201</v>
      </c>
      <c r="B55" s="13" t="s">
        <v>242</v>
      </c>
      <c r="C55" s="11">
        <v>10107696.699999999</v>
      </c>
      <c r="D55" s="11" t="s">
        <v>242</v>
      </c>
      <c r="E55" s="11">
        <v>87.369876666666698</v>
      </c>
      <c r="F55" s="11" t="s">
        <v>242</v>
      </c>
      <c r="G55" s="11">
        <v>-754.6</v>
      </c>
      <c r="H55" s="11">
        <v>947657.86594020994</v>
      </c>
      <c r="I55" s="11" t="s">
        <v>242</v>
      </c>
      <c r="J55" s="11">
        <v>569.49</v>
      </c>
      <c r="K55" s="10"/>
    </row>
    <row r="56" spans="1:11" x14ac:dyDescent="0.25">
      <c r="A56" s="8" t="s">
        <v>202</v>
      </c>
      <c r="B56" s="13" t="s">
        <v>242</v>
      </c>
      <c r="C56" s="11">
        <v>10178087.800000001</v>
      </c>
      <c r="D56" s="11" t="s">
        <v>242</v>
      </c>
      <c r="E56" s="11">
        <v>88.161926666666702</v>
      </c>
      <c r="F56" s="11" t="s">
        <v>242</v>
      </c>
      <c r="G56" s="11">
        <v>-43.9</v>
      </c>
      <c r="H56" s="11">
        <v>899019.43638130999</v>
      </c>
      <c r="I56" s="11" t="s">
        <v>242</v>
      </c>
      <c r="J56" s="11">
        <v>565.85500000000002</v>
      </c>
      <c r="K56" s="10"/>
    </row>
    <row r="57" spans="1:11" x14ac:dyDescent="0.25">
      <c r="A57" s="8" t="s">
        <v>203</v>
      </c>
      <c r="B57" s="13" t="s">
        <v>242</v>
      </c>
      <c r="C57" s="11">
        <v>10280832.699999999</v>
      </c>
      <c r="D57" s="11" t="s">
        <v>242</v>
      </c>
      <c r="E57" s="11">
        <v>88.122383333333303</v>
      </c>
      <c r="F57" s="11" t="s">
        <v>242</v>
      </c>
      <c r="G57" s="11">
        <v>-648.4</v>
      </c>
      <c r="H57" s="11">
        <v>967242.31254841003</v>
      </c>
      <c r="I57" s="11" t="s">
        <v>242</v>
      </c>
      <c r="J57" s="11">
        <v>566.98</v>
      </c>
      <c r="K57" s="10"/>
    </row>
    <row r="58" spans="1:11" x14ac:dyDescent="0.25">
      <c r="A58" s="8" t="s">
        <v>204</v>
      </c>
      <c r="B58" s="13" t="s">
        <v>242</v>
      </c>
      <c r="C58" s="11">
        <v>10247790.5</v>
      </c>
      <c r="D58" s="11" t="s">
        <v>242</v>
      </c>
      <c r="E58" s="11">
        <v>88.4633933333333</v>
      </c>
      <c r="F58" s="11" t="s">
        <v>242</v>
      </c>
      <c r="G58" s="11">
        <v>-246.1</v>
      </c>
      <c r="H58" s="11">
        <v>948596.02557329996</v>
      </c>
      <c r="I58" s="11" t="s">
        <v>242</v>
      </c>
      <c r="J58" s="11">
        <v>582.57000000000005</v>
      </c>
      <c r="K58" s="10"/>
    </row>
    <row r="59" spans="1:11" x14ac:dyDescent="0.25">
      <c r="A59" s="8" t="s">
        <v>205</v>
      </c>
      <c r="B59" s="13" t="s">
        <v>242</v>
      </c>
      <c r="C59" s="11">
        <v>10183752.4</v>
      </c>
      <c r="D59" s="11" t="s">
        <v>242</v>
      </c>
      <c r="E59" s="11">
        <v>89.218130000000002</v>
      </c>
      <c r="F59" s="11" t="s">
        <v>242</v>
      </c>
      <c r="G59" s="11">
        <v>-928.9</v>
      </c>
      <c r="H59" s="11">
        <v>981129.75770932995</v>
      </c>
      <c r="I59" s="11" t="s">
        <v>242</v>
      </c>
      <c r="J59" s="11">
        <v>608.07000000000005</v>
      </c>
      <c r="K59" s="10"/>
    </row>
    <row r="60" spans="1:11" x14ac:dyDescent="0.25">
      <c r="A60" s="8" t="s">
        <v>206</v>
      </c>
      <c r="B60" s="13" t="s">
        <v>242</v>
      </c>
      <c r="C60" s="11">
        <v>10357556.300000001</v>
      </c>
      <c r="D60" s="11">
        <v>89.520136666666701</v>
      </c>
      <c r="E60" s="11">
        <v>89.520136666666701</v>
      </c>
      <c r="F60" s="11" t="s">
        <v>242</v>
      </c>
      <c r="G60" s="11">
        <v>-65.400000000000006</v>
      </c>
      <c r="H60" s="11">
        <v>959102.89304084994</v>
      </c>
      <c r="I60" s="11">
        <v>601.13</v>
      </c>
      <c r="J60" s="11">
        <v>601.13</v>
      </c>
      <c r="K60" s="10"/>
    </row>
    <row r="61" spans="1:11" x14ac:dyDescent="0.25">
      <c r="A61" s="8" t="s">
        <v>207</v>
      </c>
      <c r="B61" s="13" t="s">
        <v>242</v>
      </c>
      <c r="C61" s="11">
        <v>10503129.1</v>
      </c>
      <c r="D61" s="11">
        <v>90.123756666666694</v>
      </c>
      <c r="E61" s="11">
        <v>90.123756666666694</v>
      </c>
      <c r="F61" s="11" t="s">
        <v>242</v>
      </c>
      <c r="G61" s="11">
        <v>109.6</v>
      </c>
      <c r="H61" s="11">
        <v>1034397.8469904</v>
      </c>
      <c r="I61" s="11">
        <v>581.9</v>
      </c>
      <c r="J61" s="11">
        <v>581.9</v>
      </c>
      <c r="K61" s="10"/>
    </row>
    <row r="62" spans="1:11" x14ac:dyDescent="0.25">
      <c r="A62" s="8" t="s">
        <v>208</v>
      </c>
      <c r="B62" s="13" t="s">
        <v>242</v>
      </c>
      <c r="C62" s="11">
        <v>10531438.300000001</v>
      </c>
      <c r="D62" s="11">
        <v>90.903123333333298</v>
      </c>
      <c r="E62" s="11">
        <v>90.903123333333298</v>
      </c>
      <c r="F62" s="11" t="s">
        <v>242</v>
      </c>
      <c r="G62" s="11">
        <v>-147.69999999999999</v>
      </c>
      <c r="H62" s="11">
        <v>1060299.16742256</v>
      </c>
      <c r="I62" s="11">
        <v>580.90499999999997</v>
      </c>
      <c r="J62" s="11">
        <v>580.90499999999997</v>
      </c>
      <c r="K62" s="10"/>
    </row>
    <row r="63" spans="1:11" x14ac:dyDescent="0.25">
      <c r="A63" s="8" t="s">
        <v>209</v>
      </c>
      <c r="B63" s="13" t="s">
        <v>242</v>
      </c>
      <c r="C63" s="11">
        <v>10583551.6</v>
      </c>
      <c r="D63" s="11">
        <v>90.838639999999998</v>
      </c>
      <c r="E63" s="11">
        <v>90.838639999999998</v>
      </c>
      <c r="F63" s="11" t="s">
        <v>242</v>
      </c>
      <c r="G63" s="11">
        <v>-647.29999999999995</v>
      </c>
      <c r="H63" s="11">
        <v>1116888.3341176</v>
      </c>
      <c r="I63" s="11">
        <v>573.29</v>
      </c>
      <c r="J63" s="11">
        <v>573.29</v>
      </c>
      <c r="K63" s="10"/>
    </row>
    <row r="64" spans="1:11" x14ac:dyDescent="0.25">
      <c r="A64" s="8" t="s">
        <v>210</v>
      </c>
      <c r="B64" s="13" t="s">
        <v>242</v>
      </c>
      <c r="C64" s="11">
        <v>10593559.800000001</v>
      </c>
      <c r="D64" s="11">
        <v>91.095603333333301</v>
      </c>
      <c r="E64" s="11">
        <v>91.095603333333301</v>
      </c>
      <c r="F64" s="11" t="s">
        <v>242</v>
      </c>
      <c r="G64" s="11">
        <v>222.4</v>
      </c>
      <c r="H64" s="11">
        <v>1133946.54249664</v>
      </c>
      <c r="I64" s="11">
        <v>583.43499999999995</v>
      </c>
      <c r="J64" s="11">
        <v>583.43499999999995</v>
      </c>
      <c r="K64" s="10"/>
    </row>
    <row r="65" spans="1:11" x14ac:dyDescent="0.25">
      <c r="A65" s="8" t="s">
        <v>211</v>
      </c>
      <c r="B65" s="13" t="s">
        <v>242</v>
      </c>
      <c r="C65" s="11">
        <v>9711610.9000000004</v>
      </c>
      <c r="D65" s="11">
        <v>90.667603333333304</v>
      </c>
      <c r="E65" s="11">
        <v>90.667603333333304</v>
      </c>
      <c r="F65" s="11" t="s">
        <v>242</v>
      </c>
      <c r="G65" s="11">
        <v>-109.2</v>
      </c>
      <c r="H65" s="11">
        <v>1076158.9929531401</v>
      </c>
      <c r="I65" s="11">
        <v>580.5</v>
      </c>
      <c r="J65" s="11">
        <v>580.5</v>
      </c>
      <c r="K65" s="10"/>
    </row>
    <row r="66" spans="1:11" x14ac:dyDescent="0.25">
      <c r="A66" s="8" t="s">
        <v>212</v>
      </c>
      <c r="B66" s="13" t="s">
        <v>242</v>
      </c>
      <c r="C66" s="11">
        <v>9821678.9000000004</v>
      </c>
      <c r="D66" s="11">
        <v>90.922093333333294</v>
      </c>
      <c r="E66" s="11">
        <v>90.922093333333294</v>
      </c>
      <c r="F66" s="11" t="s">
        <v>242</v>
      </c>
      <c r="G66" s="11">
        <v>-279.5</v>
      </c>
      <c r="H66" s="11">
        <v>1154462.3900492</v>
      </c>
      <c r="I66" s="11">
        <v>603.56500000000005</v>
      </c>
      <c r="J66" s="11">
        <v>603.56500000000005</v>
      </c>
      <c r="K66" s="10"/>
    </row>
    <row r="67" spans="1:11" x14ac:dyDescent="0.25">
      <c r="A67" s="8" t="s">
        <v>213</v>
      </c>
      <c r="B67" s="13" t="s">
        <v>242</v>
      </c>
      <c r="C67" s="11">
        <v>10090999.199999999</v>
      </c>
      <c r="D67" s="11">
        <v>91.3198266666667</v>
      </c>
      <c r="E67" s="11">
        <v>91.3198266666667</v>
      </c>
      <c r="F67" s="11" t="s">
        <v>242</v>
      </c>
      <c r="G67" s="11">
        <v>-458.9</v>
      </c>
      <c r="H67" s="11">
        <v>1315761.2785718699</v>
      </c>
      <c r="I67" s="11">
        <v>613.91499999999996</v>
      </c>
      <c r="J67" s="11">
        <v>613.91499999999996</v>
      </c>
      <c r="K67" s="10"/>
    </row>
    <row r="68" spans="1:11" x14ac:dyDescent="0.25">
      <c r="A68" s="8" t="s">
        <v>214</v>
      </c>
      <c r="B68" s="13" t="s">
        <v>242</v>
      </c>
      <c r="C68" s="11">
        <v>10516819.1</v>
      </c>
      <c r="D68" s="11">
        <v>91.655903333333299</v>
      </c>
      <c r="E68" s="11">
        <v>91.655903333333299</v>
      </c>
      <c r="F68" s="11" t="s">
        <v>242</v>
      </c>
      <c r="G68" s="11">
        <v>-353.2</v>
      </c>
      <c r="H68" s="11">
        <v>1281189.09027592</v>
      </c>
      <c r="I68" s="11">
        <v>613.04999999999995</v>
      </c>
      <c r="J68" s="11">
        <v>613.04999999999995</v>
      </c>
      <c r="K68" s="10"/>
    </row>
    <row r="69" spans="1:11" x14ac:dyDescent="0.25">
      <c r="A69" s="8" t="s">
        <v>215</v>
      </c>
      <c r="B69" s="13" t="s">
        <v>242</v>
      </c>
      <c r="C69" s="11">
        <v>10751264.9</v>
      </c>
      <c r="D69" s="11">
        <v>92.015280000000004</v>
      </c>
      <c r="E69" s="11">
        <v>92.015280000000004</v>
      </c>
      <c r="F69" s="11" t="s">
        <v>242</v>
      </c>
      <c r="G69" s="11">
        <v>-208.2</v>
      </c>
      <c r="H69" s="11">
        <v>1368936.6777767299</v>
      </c>
      <c r="I69" s="11">
        <v>618.58500000000004</v>
      </c>
      <c r="J69" s="11">
        <v>618.58500000000004</v>
      </c>
      <c r="K69" s="10"/>
    </row>
    <row r="70" spans="1:11" x14ac:dyDescent="0.25">
      <c r="A70" s="8" t="s">
        <v>216</v>
      </c>
      <c r="B70" s="13" t="s">
        <v>242</v>
      </c>
      <c r="C70" s="11">
        <v>11096709.5</v>
      </c>
      <c r="D70" s="11">
        <v>92.513746666666606</v>
      </c>
      <c r="E70" s="11">
        <v>92.513746666666606</v>
      </c>
      <c r="F70" s="11" t="s">
        <v>242</v>
      </c>
      <c r="G70" s="11">
        <v>-393.5</v>
      </c>
      <c r="H70" s="11">
        <v>1386848.5038445699</v>
      </c>
      <c r="I70" s="11">
        <v>626.47500000000002</v>
      </c>
      <c r="J70" s="11">
        <v>626.47500000000002</v>
      </c>
      <c r="K70" s="10"/>
    </row>
    <row r="71" spans="1:11" x14ac:dyDescent="0.25">
      <c r="A71" s="8" t="s">
        <v>217</v>
      </c>
      <c r="B71" s="13" t="s">
        <v>242</v>
      </c>
      <c r="C71" s="11">
        <v>11183746.699999999</v>
      </c>
      <c r="D71" s="11">
        <v>94.1050166666667</v>
      </c>
      <c r="E71" s="11">
        <v>94.1050166666667</v>
      </c>
      <c r="F71" s="11" t="s">
        <v>242</v>
      </c>
      <c r="G71" s="11">
        <v>-1223.4000000000001</v>
      </c>
      <c r="H71" s="11">
        <v>1453640.9085504501</v>
      </c>
      <c r="I71" s="11">
        <v>642.15499999999997</v>
      </c>
      <c r="J71" s="11">
        <v>642.15499999999997</v>
      </c>
      <c r="K71" s="10"/>
    </row>
    <row r="72" spans="1:11" x14ac:dyDescent="0.25">
      <c r="A72" s="8" t="s">
        <v>218</v>
      </c>
      <c r="B72" s="13" t="s">
        <v>242</v>
      </c>
      <c r="C72" s="11">
        <v>11287448.1</v>
      </c>
      <c r="D72" s="11">
        <v>95.989923333333294</v>
      </c>
      <c r="E72" s="11">
        <v>95.989923333333294</v>
      </c>
      <c r="F72" s="11" t="s">
        <v>242</v>
      </c>
      <c r="G72" s="11">
        <v>-743.9</v>
      </c>
      <c r="H72" s="11">
        <v>1379174.2595255401</v>
      </c>
      <c r="I72" s="11">
        <v>663.79</v>
      </c>
      <c r="J72" s="11">
        <v>663.79</v>
      </c>
      <c r="K72" s="10"/>
    </row>
    <row r="73" spans="1:11" x14ac:dyDescent="0.25">
      <c r="A73" s="8" t="s">
        <v>219</v>
      </c>
      <c r="B73" s="13" t="s">
        <v>242</v>
      </c>
      <c r="C73" s="11">
        <v>11362136.699999999</v>
      </c>
      <c r="D73" s="11">
        <v>99.968066666666601</v>
      </c>
      <c r="E73" s="11">
        <v>99.968066666666601</v>
      </c>
      <c r="F73" s="11" t="s">
        <v>242</v>
      </c>
      <c r="G73" s="11">
        <v>-454.9</v>
      </c>
      <c r="H73" s="11">
        <v>1471682.5586594201</v>
      </c>
      <c r="I73" s="11">
        <v>688.505</v>
      </c>
      <c r="J73" s="11">
        <v>688.505</v>
      </c>
      <c r="K73" s="10"/>
    </row>
    <row r="74" spans="1:11" x14ac:dyDescent="0.25">
      <c r="A74" s="8" t="s">
        <v>220</v>
      </c>
      <c r="B74" s="13" t="s">
        <v>242</v>
      </c>
      <c r="C74" s="11">
        <v>11526080.1</v>
      </c>
      <c r="D74" s="11">
        <v>102.98854</v>
      </c>
      <c r="E74" s="11">
        <v>102.98854</v>
      </c>
      <c r="F74" s="11" t="s">
        <v>242</v>
      </c>
      <c r="G74" s="11">
        <v>-271.10000000000002</v>
      </c>
      <c r="H74" s="11">
        <v>1610199.99605</v>
      </c>
      <c r="I74" s="11">
        <v>628.66999999999996</v>
      </c>
      <c r="J74" s="11">
        <v>628.66999999999996</v>
      </c>
      <c r="K74" s="10"/>
    </row>
    <row r="75" spans="1:11" x14ac:dyDescent="0.25">
      <c r="A75" s="8" t="s">
        <v>221</v>
      </c>
      <c r="B75" s="13" t="s">
        <v>242</v>
      </c>
      <c r="C75" s="11">
        <v>11760231</v>
      </c>
      <c r="D75" s="11">
        <v>101.983533333333</v>
      </c>
      <c r="E75" s="11">
        <v>101.983533333333</v>
      </c>
      <c r="F75" s="11" t="s">
        <v>242</v>
      </c>
      <c r="G75" s="11">
        <v>-381</v>
      </c>
      <c r="H75" s="11">
        <v>1776917.3697124401</v>
      </c>
      <c r="I75" s="11">
        <v>598.08000000000004</v>
      </c>
      <c r="J75" s="11">
        <v>598.08000000000004</v>
      </c>
      <c r="K75" s="10"/>
    </row>
    <row r="76" spans="1:11" x14ac:dyDescent="0.25">
      <c r="A76" s="8" t="s">
        <v>222</v>
      </c>
      <c r="B76" s="13" t="s">
        <v>242</v>
      </c>
      <c r="C76" s="11">
        <v>11810363.300000001</v>
      </c>
      <c r="D76" s="11">
        <v>101.62676</v>
      </c>
      <c r="E76" s="11">
        <v>101.62676</v>
      </c>
      <c r="F76" s="11" t="s">
        <v>242</v>
      </c>
      <c r="G76" s="11">
        <v>-338.6</v>
      </c>
      <c r="H76" s="11">
        <v>1710594.2818462299</v>
      </c>
      <c r="I76" s="11">
        <v>543.16999999999996</v>
      </c>
      <c r="J76" s="11">
        <v>543.16999999999996</v>
      </c>
      <c r="K76" s="10"/>
    </row>
    <row r="77" spans="1:11" x14ac:dyDescent="0.25">
      <c r="A77" s="8" t="s">
        <v>223</v>
      </c>
      <c r="B77" s="13" t="s">
        <v>242</v>
      </c>
      <c r="C77" s="11">
        <v>12003346.1</v>
      </c>
      <c r="D77" s="11">
        <v>100.710383333333</v>
      </c>
      <c r="E77" s="11">
        <v>100.710383333333</v>
      </c>
      <c r="F77" s="11" t="s">
        <v>242</v>
      </c>
      <c r="G77" s="11">
        <v>-110.3</v>
      </c>
      <c r="H77" s="11">
        <v>1867247.6122324101</v>
      </c>
      <c r="I77" s="11">
        <v>546.30499999999995</v>
      </c>
      <c r="J77" s="11">
        <v>546.30499999999995</v>
      </c>
      <c r="K77" s="10"/>
    </row>
    <row r="78" spans="1:11" x14ac:dyDescent="0.25">
      <c r="A78" s="8" t="s">
        <v>224</v>
      </c>
      <c r="B78" s="13" t="s">
        <v>242</v>
      </c>
      <c r="C78" s="11">
        <v>12118595.1</v>
      </c>
      <c r="D78" s="11">
        <v>100.30929</v>
      </c>
      <c r="E78" s="11">
        <v>100.30929</v>
      </c>
      <c r="F78" s="11" t="s">
        <v>242</v>
      </c>
      <c r="G78" s="11">
        <v>-442</v>
      </c>
      <c r="H78" s="11">
        <v>1834516.3063359</v>
      </c>
      <c r="I78" s="11">
        <v>535.15499999999997</v>
      </c>
      <c r="J78" s="11">
        <v>535.15499999999997</v>
      </c>
      <c r="K78" s="10"/>
    </row>
    <row r="79" spans="1:11" x14ac:dyDescent="0.25">
      <c r="A79" s="8" t="s">
        <v>225</v>
      </c>
      <c r="B79" s="13" t="s">
        <v>242</v>
      </c>
      <c r="C79" s="11">
        <v>12219270.6</v>
      </c>
      <c r="D79" s="11">
        <v>100.389253333333</v>
      </c>
      <c r="E79" s="11">
        <v>100.389253333333</v>
      </c>
      <c r="F79" s="11" t="s">
        <v>242</v>
      </c>
      <c r="G79" s="11">
        <v>-354.4</v>
      </c>
      <c r="H79" s="11">
        <v>1990649.4110278401</v>
      </c>
      <c r="I79" s="11">
        <v>523.04499999999996</v>
      </c>
      <c r="J79" s="11">
        <v>523.04499999999996</v>
      </c>
      <c r="K79" s="10"/>
    </row>
    <row r="80" spans="1:11" x14ac:dyDescent="0.25">
      <c r="A80" s="8" t="s">
        <v>226</v>
      </c>
      <c r="B80" s="13" t="s">
        <v>242</v>
      </c>
      <c r="C80" s="11">
        <v>12348828.9</v>
      </c>
      <c r="D80" s="11">
        <v>100.207073333333</v>
      </c>
      <c r="E80" s="11">
        <v>100.207073333333</v>
      </c>
      <c r="F80" s="11" t="s">
        <v>242</v>
      </c>
      <c r="G80" s="11">
        <v>-15.2</v>
      </c>
      <c r="H80" s="11">
        <v>1852104.4115848399</v>
      </c>
      <c r="I80" s="11">
        <v>502.995</v>
      </c>
      <c r="J80" s="11">
        <v>502.995</v>
      </c>
      <c r="K80" s="10"/>
    </row>
    <row r="81" spans="1:11" x14ac:dyDescent="0.25">
      <c r="A81" s="8" t="s">
        <v>227</v>
      </c>
      <c r="B81" s="13" t="s">
        <v>242</v>
      </c>
      <c r="C81" s="11">
        <v>12489859.300000001</v>
      </c>
      <c r="D81" s="11">
        <v>100.41161</v>
      </c>
      <c r="E81" s="11">
        <v>100.41161</v>
      </c>
      <c r="F81" s="11" t="s">
        <v>242</v>
      </c>
      <c r="G81" s="11">
        <v>-368.3</v>
      </c>
      <c r="H81" s="11">
        <v>2019257.9369775699</v>
      </c>
      <c r="I81" s="11">
        <v>526.94500000000005</v>
      </c>
      <c r="J81" s="11">
        <v>526.94500000000005</v>
      </c>
      <c r="K81" s="10"/>
    </row>
    <row r="82" spans="1:11" x14ac:dyDescent="0.25">
      <c r="A82" s="8" t="s">
        <v>228</v>
      </c>
      <c r="B82" s="13" t="s">
        <v>242</v>
      </c>
      <c r="C82" s="11">
        <v>12557381</v>
      </c>
      <c r="D82" s="11">
        <v>100.378916666667</v>
      </c>
      <c r="E82" s="11">
        <v>100.378916666667</v>
      </c>
      <c r="F82" s="11" t="s">
        <v>242</v>
      </c>
      <c r="G82" s="11">
        <v>-168.1</v>
      </c>
      <c r="H82" s="11">
        <v>1982616.7181420899</v>
      </c>
      <c r="I82" s="11">
        <v>519.86500000000001</v>
      </c>
      <c r="J82" s="11">
        <v>519.86500000000001</v>
      </c>
      <c r="K82" s="10"/>
    </row>
    <row r="83" spans="1:11" x14ac:dyDescent="0.25">
      <c r="A83" s="8" t="s">
        <v>229</v>
      </c>
      <c r="B83" s="13" t="s">
        <v>242</v>
      </c>
      <c r="C83" s="11">
        <v>12721121.4</v>
      </c>
      <c r="D83" s="11">
        <v>100.376473333333</v>
      </c>
      <c r="E83" s="11">
        <v>100.376473333333</v>
      </c>
      <c r="F83" s="11" t="s">
        <v>242</v>
      </c>
      <c r="G83" s="11">
        <v>-287.8</v>
      </c>
      <c r="H83" s="11">
        <v>2166838.2164318599</v>
      </c>
      <c r="I83" s="11">
        <v>509.69499999999999</v>
      </c>
      <c r="J83" s="11">
        <v>509.69499999999999</v>
      </c>
      <c r="K83" s="10"/>
    </row>
    <row r="84" spans="1:11" x14ac:dyDescent="0.25">
      <c r="A84" s="8" t="s">
        <v>230</v>
      </c>
      <c r="B84" s="13" t="s">
        <v>242</v>
      </c>
      <c r="C84" s="11">
        <v>12786456.9</v>
      </c>
      <c r="D84" s="11">
        <v>101.412743333333</v>
      </c>
      <c r="E84" s="11">
        <v>101.412743333333</v>
      </c>
      <c r="F84" s="11" t="s">
        <v>242</v>
      </c>
      <c r="G84" s="11">
        <v>-55.2</v>
      </c>
      <c r="H84" s="11">
        <v>2050099.10141546</v>
      </c>
      <c r="I84" s="11">
        <v>500.64</v>
      </c>
      <c r="J84" s="11">
        <v>500.64</v>
      </c>
      <c r="K84" s="10"/>
    </row>
    <row r="85" spans="1:11" x14ac:dyDescent="0.25">
      <c r="A85" s="8" t="s">
        <v>231</v>
      </c>
      <c r="B85" s="13" t="s">
        <v>242</v>
      </c>
      <c r="C85" s="11">
        <v>13114127</v>
      </c>
      <c r="D85" s="11">
        <v>100.42519666666701</v>
      </c>
      <c r="E85" s="11">
        <v>100.42519666666701</v>
      </c>
      <c r="F85" s="11" t="s">
        <v>242</v>
      </c>
      <c r="G85" s="11">
        <v>-130.19999999999999</v>
      </c>
      <c r="H85" s="11">
        <v>2271639.1639801399</v>
      </c>
      <c r="I85" s="11">
        <v>505.14</v>
      </c>
      <c r="J85" s="11">
        <v>505.14</v>
      </c>
      <c r="K85" s="10"/>
    </row>
    <row r="86" spans="1:11" x14ac:dyDescent="0.25">
      <c r="A86" s="8" t="s">
        <v>232</v>
      </c>
      <c r="B86" s="13" t="s">
        <v>242</v>
      </c>
      <c r="C86" s="11">
        <v>13215512.199999999</v>
      </c>
      <c r="D86" s="11">
        <v>99.526700000000005</v>
      </c>
      <c r="E86" s="11">
        <v>99.526700000000005</v>
      </c>
      <c r="F86" s="11" t="s">
        <v>242</v>
      </c>
      <c r="G86" s="11">
        <v>-225.1</v>
      </c>
      <c r="H86" s="11">
        <v>2335860.9397074799</v>
      </c>
      <c r="I86" s="11">
        <v>502.32499999999999</v>
      </c>
      <c r="J86" s="11">
        <v>502.32499999999999</v>
      </c>
      <c r="K86" s="10"/>
    </row>
    <row r="87" spans="1:11" x14ac:dyDescent="0.25">
      <c r="A87" s="8" t="s">
        <v>233</v>
      </c>
      <c r="B87" s="13" t="s">
        <v>242</v>
      </c>
      <c r="C87" s="11">
        <v>13273973.800000001</v>
      </c>
      <c r="D87" s="11">
        <v>99.711633333333296</v>
      </c>
      <c r="E87" s="11" t="s">
        <v>242</v>
      </c>
      <c r="F87" s="11" t="s">
        <v>242</v>
      </c>
      <c r="G87" s="11">
        <v>-161.69999999999999</v>
      </c>
      <c r="H87" s="11">
        <v>2382775.6525309798</v>
      </c>
      <c r="I87" s="11">
        <v>498.6</v>
      </c>
      <c r="J87" s="11" t="s">
        <v>242</v>
      </c>
      <c r="K87" s="11"/>
    </row>
    <row r="88" spans="1:11" x14ac:dyDescent="0.25">
      <c r="A88" s="8" t="s">
        <v>234</v>
      </c>
      <c r="B88" s="13" t="s">
        <v>242</v>
      </c>
      <c r="C88" s="11">
        <v>13290783.9</v>
      </c>
      <c r="D88" s="11">
        <v>98.926360000000003</v>
      </c>
      <c r="E88" s="11" t="s">
        <v>242</v>
      </c>
      <c r="F88" s="11" t="s">
        <v>242</v>
      </c>
      <c r="G88" s="11">
        <v>-92.6</v>
      </c>
      <c r="H88" s="11">
        <v>2134421.5583582101</v>
      </c>
      <c r="I88" s="11">
        <v>464.96499999999997</v>
      </c>
      <c r="J88" s="11" t="s">
        <v>242</v>
      </c>
      <c r="K88" s="11"/>
    </row>
    <row r="89" spans="1:11" x14ac:dyDescent="0.25">
      <c r="A89" s="8" t="s">
        <v>235</v>
      </c>
      <c r="B89" s="13" t="s">
        <v>242</v>
      </c>
      <c r="C89" s="11">
        <v>13445862.1</v>
      </c>
      <c r="D89" s="11">
        <v>99.44323</v>
      </c>
      <c r="E89" s="11" t="s">
        <v>242</v>
      </c>
      <c r="F89" s="11" t="s">
        <v>242</v>
      </c>
      <c r="G89" s="11" t="s">
        <v>242</v>
      </c>
      <c r="H89" s="11">
        <v>2328461.2954494702</v>
      </c>
      <c r="I89" s="11">
        <v>454.53</v>
      </c>
      <c r="J89" s="11" t="s">
        <v>242</v>
      </c>
      <c r="K89" s="11"/>
    </row>
    <row r="90" spans="1:11" x14ac:dyDescent="0.25">
      <c r="A90" s="8" t="s">
        <v>236</v>
      </c>
      <c r="B90" s="13" t="s">
        <v>242</v>
      </c>
      <c r="C90" s="11">
        <v>13630742.703875</v>
      </c>
      <c r="D90" s="11">
        <v>99.458101815406906</v>
      </c>
      <c r="E90" s="11" t="s">
        <v>242</v>
      </c>
      <c r="F90" s="11" t="s">
        <v>242</v>
      </c>
      <c r="G90" s="11" t="s">
        <v>242</v>
      </c>
      <c r="H90" s="11" t="s">
        <v>242</v>
      </c>
      <c r="I90" s="11">
        <v>448.81169412442301</v>
      </c>
      <c r="J90" s="11" t="s">
        <v>242</v>
      </c>
      <c r="K90" s="11"/>
    </row>
    <row r="91" spans="1:11" x14ac:dyDescent="0.25">
      <c r="A91" s="8" t="s">
        <v>237</v>
      </c>
      <c r="B91" s="13" t="s">
        <v>242</v>
      </c>
      <c r="C91" s="11">
        <v>13751933.418694099</v>
      </c>
      <c r="D91" s="11">
        <v>100.125854544113</v>
      </c>
      <c r="E91" s="11" t="s">
        <v>242</v>
      </c>
      <c r="F91" s="11" t="s">
        <v>242</v>
      </c>
      <c r="G91" s="11" t="s">
        <v>242</v>
      </c>
      <c r="H91" s="11" t="s">
        <v>242</v>
      </c>
      <c r="I91" s="11">
        <v>448.889718021806</v>
      </c>
      <c r="J91" s="11" t="s">
        <v>242</v>
      </c>
      <c r="K91" s="11"/>
    </row>
    <row r="92" spans="1:11" ht="13" x14ac:dyDescent="0.3">
      <c r="A92" s="9" t="s">
        <v>238</v>
      </c>
      <c r="B92" s="14" t="s">
        <v>242</v>
      </c>
      <c r="C92" s="11">
        <v>13851634.935979599</v>
      </c>
      <c r="D92" s="11">
        <v>101.15735218638901</v>
      </c>
      <c r="E92" s="11" t="s">
        <v>242</v>
      </c>
      <c r="F92" s="11" t="s">
        <v>242</v>
      </c>
      <c r="G92" s="11" t="s">
        <v>242</v>
      </c>
      <c r="H92" s="11" t="s">
        <v>242</v>
      </c>
      <c r="I92" s="11">
        <v>448.889718021806</v>
      </c>
      <c r="J92" s="11" t="s">
        <v>242</v>
      </c>
      <c r="K92" s="11"/>
    </row>
    <row r="93" spans="1:11" ht="13" x14ac:dyDescent="0.3">
      <c r="A93" s="9" t="s">
        <v>239</v>
      </c>
      <c r="B93" s="14" t="s">
        <v>242</v>
      </c>
      <c r="C93" s="11">
        <v>13952059.2892655</v>
      </c>
      <c r="D93" s="11">
        <v>101.38984542159599</v>
      </c>
      <c r="E93" s="11" t="s">
        <v>242</v>
      </c>
      <c r="F93" s="11" t="s">
        <v>242</v>
      </c>
      <c r="G93" s="11" t="s">
        <v>242</v>
      </c>
      <c r="H93" s="11" t="s">
        <v>242</v>
      </c>
      <c r="I93" s="11">
        <v>448.889718021806</v>
      </c>
      <c r="J93" s="11" t="s">
        <v>242</v>
      </c>
      <c r="K93" s="11"/>
    </row>
    <row r="94" spans="1:11" ht="13" x14ac:dyDescent="0.3">
      <c r="A94" s="9" t="s">
        <v>240</v>
      </c>
      <c r="B94" s="14" t="s">
        <v>242</v>
      </c>
      <c r="C94" s="11">
        <v>14053211.7191127</v>
      </c>
      <c r="D94" s="11">
        <v>101.91315235685801</v>
      </c>
      <c r="E94" s="11" t="s">
        <v>242</v>
      </c>
      <c r="F94" s="11" t="s">
        <v>242</v>
      </c>
      <c r="G94" s="11" t="s">
        <v>242</v>
      </c>
      <c r="H94" s="11" t="s">
        <v>242</v>
      </c>
      <c r="I94" s="11">
        <v>448.889718021806</v>
      </c>
      <c r="J94" s="11" t="s">
        <v>242</v>
      </c>
      <c r="K94" s="11"/>
    </row>
    <row r="95" spans="1:11" ht="13" x14ac:dyDescent="0.3">
      <c r="A95" s="9" t="s">
        <v>241</v>
      </c>
      <c r="B95" s="14" t="s">
        <v>242</v>
      </c>
      <c r="C95" s="11">
        <v>14144459.581707399</v>
      </c>
      <c r="D95" s="11">
        <v>102.380705597196</v>
      </c>
      <c r="E95" s="11" t="s">
        <v>242</v>
      </c>
      <c r="F95" s="11" t="s">
        <v>242</v>
      </c>
      <c r="G95" s="11" t="s">
        <v>242</v>
      </c>
      <c r="H95" s="11" t="s">
        <v>242</v>
      </c>
      <c r="I95" s="11">
        <v>448.889718021806</v>
      </c>
      <c r="J95" s="11" t="s">
        <v>242</v>
      </c>
      <c r="K95" s="11"/>
    </row>
    <row r="97" spans="1:11" x14ac:dyDescent="0.25">
      <c r="A97">
        <v>2025</v>
      </c>
      <c r="B97" s="11">
        <v>52400491.799999997</v>
      </c>
      <c r="C97" s="11" t="s">
        <v>242</v>
      </c>
      <c r="D97" s="11">
        <v>100.269068333333</v>
      </c>
      <c r="E97" s="11" t="s">
        <v>242</v>
      </c>
      <c r="F97" s="11">
        <v>-572.40000000000396</v>
      </c>
      <c r="G97" s="11">
        <v>-572.20000000000005</v>
      </c>
      <c r="H97" s="11">
        <v>9040374.8576340601</v>
      </c>
      <c r="I97" s="11" t="s">
        <v>242</v>
      </c>
      <c r="J97" s="11">
        <v>502.32499999999999</v>
      </c>
      <c r="K97" s="10"/>
    </row>
    <row r="98" spans="1:11" x14ac:dyDescent="0.25">
      <c r="A98">
        <v>2026</v>
      </c>
      <c r="B98" s="11">
        <v>54119322.122569099</v>
      </c>
      <c r="C98" s="11" t="s">
        <v>242</v>
      </c>
      <c r="D98" s="11">
        <v>99.488386589879994</v>
      </c>
      <c r="E98" s="11" t="s">
        <v>242</v>
      </c>
      <c r="F98" s="11">
        <v>-1711.03591346698</v>
      </c>
      <c r="G98" s="11">
        <v>-92.6</v>
      </c>
      <c r="H98" s="11" t="s">
        <v>242</v>
      </c>
      <c r="I98" s="11" t="s">
        <v>242</v>
      </c>
      <c r="J98" s="11" t="s">
        <v>242</v>
      </c>
      <c r="K98" s="10"/>
    </row>
    <row r="99" spans="1:11" x14ac:dyDescent="0.25">
      <c r="A99">
        <v>2027</v>
      </c>
      <c r="B99" s="11">
        <v>56001365.526065201</v>
      </c>
      <c r="C99" s="11" t="s">
        <v>242</v>
      </c>
      <c r="D99" s="11">
        <v>101.71026389051001</v>
      </c>
      <c r="E99" s="11" t="s">
        <v>242</v>
      </c>
      <c r="F99" s="11">
        <v>-1979.69711328075</v>
      </c>
      <c r="G99" s="11" t="s">
        <v>242</v>
      </c>
      <c r="H99" s="11" t="s">
        <v>242</v>
      </c>
      <c r="I99" s="11" t="s">
        <v>242</v>
      </c>
      <c r="J99" s="11" t="s">
        <v>242</v>
      </c>
      <c r="K99" s="10"/>
    </row>
  </sheetData>
  <hyperlinks>
    <hyperlink ref="H1" r:id="rId1" xr:uid="{76C34DEE-710A-4F61-A288-93D077FC1DCE}"/>
    <hyperlink ref="G1" r:id="rId2" xr:uid="{DE4AA5FD-C659-4592-86F0-1779DE654A4D}"/>
  </hyperlinks>
  <pageMargins left="0.7" right="0.7" top="0.75" bottom="0.75" header="0.3" footer="0.3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4438-6A99-4D2E-AD2A-D97632D39169}">
  <dimension ref="A1:F94"/>
  <sheetViews>
    <sheetView tabSelected="1" topLeftCell="A68" workbookViewId="0">
      <selection activeCell="H86" sqref="H86"/>
    </sheetView>
  </sheetViews>
  <sheetFormatPr defaultRowHeight="12.5" x14ac:dyDescent="0.25"/>
  <sheetData>
    <row r="1" spans="1:6" x14ac:dyDescent="0.25">
      <c r="B1" t="s">
        <v>256</v>
      </c>
    </row>
    <row r="2" spans="1:6" x14ac:dyDescent="0.25">
      <c r="A2" t="s">
        <v>255</v>
      </c>
      <c r="B2" t="s">
        <v>257</v>
      </c>
      <c r="C2" t="s">
        <v>247</v>
      </c>
      <c r="D2" t="s">
        <v>248</v>
      </c>
      <c r="E2" t="s">
        <v>251</v>
      </c>
      <c r="F2" t="s">
        <v>254</v>
      </c>
    </row>
    <row r="3" spans="1:6" x14ac:dyDescent="0.25">
      <c r="A3" t="s">
        <v>150</v>
      </c>
      <c r="B3">
        <v>422.47974699000002</v>
      </c>
      <c r="C3">
        <f>+Sheet2!G4</f>
        <v>-76.400000000000006</v>
      </c>
      <c r="D3">
        <f>+Sheet2!E4</f>
        <v>42.544686666666699</v>
      </c>
      <c r="E3">
        <f>+Sheet2!J4</f>
        <v>468.16500000000002</v>
      </c>
      <c r="F3">
        <f>Sheet1!H28*1000</f>
        <v>4883</v>
      </c>
    </row>
    <row r="4" spans="1:6" x14ac:dyDescent="0.25">
      <c r="A4" t="s">
        <v>151</v>
      </c>
      <c r="B4">
        <v>51.764432620000001</v>
      </c>
      <c r="C4">
        <f>+Sheet2!G5</f>
        <v>-29.9</v>
      </c>
      <c r="D4">
        <f>+Sheet2!E5</f>
        <v>43.809640000000002</v>
      </c>
      <c r="E4">
        <f>+Sheet2!J5</f>
        <v>477.79500000000002</v>
      </c>
      <c r="F4">
        <f>Sheet1!H29*1000</f>
        <v>4795</v>
      </c>
    </row>
    <row r="5" spans="1:6" x14ac:dyDescent="0.25">
      <c r="A5" t="s">
        <v>152</v>
      </c>
      <c r="B5">
        <v>80.661095299999999</v>
      </c>
      <c r="C5">
        <f>+Sheet2!G6</f>
        <v>-333.8</v>
      </c>
      <c r="D5">
        <f>+Sheet2!E6</f>
        <v>45.106013333333301</v>
      </c>
      <c r="E5">
        <f>+Sheet2!J6</f>
        <v>487.18</v>
      </c>
      <c r="F5">
        <f>Sheet1!H30*1000</f>
        <v>4966</v>
      </c>
    </row>
    <row r="6" spans="1:6" x14ac:dyDescent="0.25">
      <c r="A6" t="s">
        <v>153</v>
      </c>
      <c r="B6">
        <v>79.296462669999997</v>
      </c>
      <c r="C6">
        <f>+Sheet2!G7</f>
        <v>-410.9</v>
      </c>
      <c r="D6">
        <f>+Sheet2!E7</f>
        <v>46.561160000000001</v>
      </c>
      <c r="E6">
        <f>+Sheet2!J7</f>
        <v>496.68</v>
      </c>
      <c r="F6">
        <f>Sheet1!H31*1000</f>
        <v>5397</v>
      </c>
    </row>
    <row r="7" spans="1:6" x14ac:dyDescent="0.25">
      <c r="A7" t="s">
        <v>154</v>
      </c>
      <c r="B7">
        <v>190.61329051999999</v>
      </c>
      <c r="C7">
        <f>+Sheet2!G8</f>
        <v>-62.6</v>
      </c>
      <c r="D7">
        <f>+Sheet2!E8</f>
        <v>47.985476666666699</v>
      </c>
      <c r="E7">
        <f>+Sheet2!J8</f>
        <v>505.435</v>
      </c>
      <c r="F7">
        <f>Sheet1!H32*1000</f>
        <v>5428</v>
      </c>
    </row>
    <row r="8" spans="1:6" x14ac:dyDescent="0.25">
      <c r="A8" t="s">
        <v>155</v>
      </c>
      <c r="B8">
        <v>141.53911528</v>
      </c>
      <c r="C8">
        <f>+Sheet2!G9</f>
        <v>-76.400000000000006</v>
      </c>
      <c r="D8">
        <f>+Sheet2!E9</f>
        <v>49.055056666666701</v>
      </c>
      <c r="E8">
        <f>+Sheet2!J9</f>
        <v>512.995</v>
      </c>
      <c r="F8">
        <f>Sheet1!H33*1000</f>
        <v>5395</v>
      </c>
    </row>
    <row r="9" spans="1:6" x14ac:dyDescent="0.25">
      <c r="A9" t="s">
        <v>156</v>
      </c>
      <c r="B9">
        <v>36.977191419999997</v>
      </c>
      <c r="C9">
        <f>+Sheet2!G10</f>
        <v>-392.4</v>
      </c>
      <c r="D9">
        <f>+Sheet2!E10</f>
        <v>50.349449999999997</v>
      </c>
      <c r="E9">
        <f>+Sheet2!J10</f>
        <v>520.89499999999998</v>
      </c>
      <c r="F9">
        <f>Sheet1!H34*1000</f>
        <v>5592</v>
      </c>
    </row>
    <row r="10" spans="1:6" x14ac:dyDescent="0.25">
      <c r="A10" t="s">
        <v>157</v>
      </c>
      <c r="B10">
        <v>96.682779460000006</v>
      </c>
      <c r="C10">
        <f>+Sheet2!G11</f>
        <v>-400.4</v>
      </c>
      <c r="D10">
        <f>+Sheet2!E11</f>
        <v>51.051936666666698</v>
      </c>
      <c r="E10">
        <f>+Sheet2!J11</f>
        <v>517.89499999999998</v>
      </c>
      <c r="F10">
        <f>Sheet1!H35*1000</f>
        <v>6301</v>
      </c>
    </row>
    <row r="11" spans="1:6" x14ac:dyDescent="0.25">
      <c r="A11" t="s">
        <v>158</v>
      </c>
      <c r="B11">
        <v>155.37552714</v>
      </c>
      <c r="C11">
        <f>+Sheet2!G12</f>
        <v>-191.3</v>
      </c>
      <c r="D11">
        <f>+Sheet2!E12</f>
        <v>52.308646666666696</v>
      </c>
      <c r="E11">
        <f>+Sheet2!J12</f>
        <v>518.79999999999995</v>
      </c>
      <c r="F11">
        <f>Sheet1!H36*1000</f>
        <v>6377</v>
      </c>
    </row>
    <row r="12" spans="1:6" x14ac:dyDescent="0.25">
      <c r="A12" t="s">
        <v>159</v>
      </c>
      <c r="B12">
        <v>318.60149107000001</v>
      </c>
      <c r="C12">
        <f>+Sheet2!G13</f>
        <v>-171.4</v>
      </c>
      <c r="D12">
        <f>+Sheet2!E13</f>
        <v>53.578569999999999</v>
      </c>
      <c r="E12">
        <f>+Sheet2!J13</f>
        <v>518.625</v>
      </c>
      <c r="F12">
        <f>Sheet1!H37*1000</f>
        <v>6376</v>
      </c>
    </row>
    <row r="13" spans="1:6" x14ac:dyDescent="0.25">
      <c r="A13" t="s">
        <v>160</v>
      </c>
      <c r="B13">
        <v>33.029357760000003</v>
      </c>
      <c r="C13">
        <f>+Sheet2!G14</f>
        <v>-467.5</v>
      </c>
      <c r="D13">
        <f>+Sheet2!E14</f>
        <v>54.838236666666702</v>
      </c>
      <c r="E13">
        <f>+Sheet2!J14</f>
        <v>518.56500000000005</v>
      </c>
      <c r="F13">
        <f>Sheet1!H38*1000</f>
        <v>6641</v>
      </c>
    </row>
    <row r="14" spans="1:6" x14ac:dyDescent="0.25">
      <c r="A14" t="s">
        <v>161</v>
      </c>
      <c r="B14">
        <v>57.788483900000003</v>
      </c>
      <c r="C14">
        <f>+Sheet2!G15</f>
        <v>-675.6</v>
      </c>
      <c r="D14">
        <f>+Sheet2!E15</f>
        <v>56.284743333333303</v>
      </c>
      <c r="E14">
        <f>+Sheet2!J15</f>
        <v>498.1</v>
      </c>
      <c r="F14">
        <f>Sheet1!H39*1000</f>
        <v>7491</v>
      </c>
    </row>
    <row r="15" spans="1:6" x14ac:dyDescent="0.25">
      <c r="A15" t="s">
        <v>162</v>
      </c>
      <c r="B15">
        <v>92.30752099</v>
      </c>
      <c r="C15">
        <f>+Sheet2!G16</f>
        <v>-343.8</v>
      </c>
      <c r="D15">
        <f>+Sheet2!E16</f>
        <v>58.062463333333298</v>
      </c>
      <c r="E15">
        <f>+Sheet2!J16</f>
        <v>494.65499999999997</v>
      </c>
      <c r="F15">
        <f>Sheet1!H40*1000</f>
        <v>7839</v>
      </c>
    </row>
    <row r="16" spans="1:6" x14ac:dyDescent="0.25">
      <c r="A16" t="s">
        <v>163</v>
      </c>
      <c r="B16">
        <v>129.31054707999999</v>
      </c>
      <c r="C16">
        <f>+Sheet2!G17</f>
        <v>-819.8</v>
      </c>
      <c r="D16">
        <f>+Sheet2!E17</f>
        <v>59.949943333333302</v>
      </c>
      <c r="E16">
        <f>+Sheet2!J17</f>
        <v>519.54999999999995</v>
      </c>
      <c r="F16">
        <f>Sheet1!H41*1000</f>
        <v>7791</v>
      </c>
    </row>
    <row r="17" spans="1:6" x14ac:dyDescent="0.25">
      <c r="A17" t="s">
        <v>164</v>
      </c>
      <c r="B17">
        <v>143.23580543</v>
      </c>
      <c r="C17">
        <f>+Sheet2!G18</f>
        <v>-770.7</v>
      </c>
      <c r="D17">
        <f>+Sheet2!E18</f>
        <v>63.127943333333299</v>
      </c>
      <c r="E17">
        <f>+Sheet2!J18</f>
        <v>554.42499999999995</v>
      </c>
      <c r="F17">
        <f>Sheet1!H42*1000</f>
        <v>7340</v>
      </c>
    </row>
    <row r="18" spans="1:6" x14ac:dyDescent="0.25">
      <c r="A18" t="s">
        <v>165</v>
      </c>
      <c r="B18">
        <v>165.53669776000001</v>
      </c>
      <c r="C18">
        <f>+Sheet2!G19</f>
        <v>-642.70000000000005</v>
      </c>
      <c r="D18">
        <f>+Sheet2!E19</f>
        <v>65.002703333333301</v>
      </c>
      <c r="E18">
        <f>+Sheet2!J19</f>
        <v>555.46500000000003</v>
      </c>
      <c r="F18">
        <f>Sheet1!H43*1000</f>
        <v>7833</v>
      </c>
    </row>
    <row r="19" spans="1:6" x14ac:dyDescent="0.25">
      <c r="A19" t="s">
        <v>166</v>
      </c>
      <c r="B19">
        <v>-23.680193020000001</v>
      </c>
      <c r="C19">
        <f>+Sheet2!G20</f>
        <v>62.4</v>
      </c>
      <c r="D19">
        <f>+Sheet2!E20</f>
        <v>65.525829999999999</v>
      </c>
      <c r="E19">
        <f>+Sheet2!J20</f>
        <v>563.38499999999999</v>
      </c>
      <c r="F19">
        <f>Sheet1!H44*1000</f>
        <v>7520</v>
      </c>
    </row>
    <row r="20" spans="1:6" x14ac:dyDescent="0.25">
      <c r="A20" t="s">
        <v>167</v>
      </c>
      <c r="B20">
        <v>43.359013320000003</v>
      </c>
      <c r="C20">
        <f>+Sheet2!G21</f>
        <v>104</v>
      </c>
      <c r="D20">
        <f>+Sheet2!E21</f>
        <v>65.827366666666705</v>
      </c>
      <c r="E20">
        <f>+Sheet2!J21</f>
        <v>575.26</v>
      </c>
      <c r="F20">
        <f>Sheet1!H45*1000</f>
        <v>7356</v>
      </c>
    </row>
    <row r="21" spans="1:6" x14ac:dyDescent="0.25">
      <c r="A21" t="s">
        <v>168</v>
      </c>
      <c r="B21">
        <v>90.064765480000005</v>
      </c>
      <c r="C21">
        <f>+Sheet2!G22</f>
        <v>-224.7</v>
      </c>
      <c r="D21">
        <f>+Sheet2!E22</f>
        <v>66.793506666666701</v>
      </c>
      <c r="E21">
        <f>+Sheet2!J22</f>
        <v>587.11</v>
      </c>
      <c r="F21">
        <f>Sheet1!H46*1000</f>
        <v>7482</v>
      </c>
    </row>
    <row r="22" spans="1:6" x14ac:dyDescent="0.25">
      <c r="A22" t="s">
        <v>169</v>
      </c>
      <c r="B22">
        <v>278.05345896</v>
      </c>
      <c r="C22">
        <f>+Sheet2!G23</f>
        <v>-494.6</v>
      </c>
      <c r="D22">
        <f>+Sheet2!E23</f>
        <v>67.300749999999994</v>
      </c>
      <c r="E22">
        <f>+Sheet2!J23</f>
        <v>565.24</v>
      </c>
      <c r="F22">
        <f>Sheet1!H47*1000</f>
        <v>8389</v>
      </c>
    </row>
    <row r="23" spans="1:6" x14ac:dyDescent="0.25">
      <c r="A23" t="s">
        <v>170</v>
      </c>
      <c r="B23">
        <v>360.15090684</v>
      </c>
      <c r="C23">
        <f>+Sheet2!G24</f>
        <v>66.5</v>
      </c>
      <c r="D23">
        <f>+Sheet2!E24</f>
        <v>69.192053333333305</v>
      </c>
      <c r="E23">
        <f>+Sheet2!J24</f>
        <v>523.64499999999998</v>
      </c>
      <c r="F23">
        <f>Sheet1!H48*1000</f>
        <v>8879</v>
      </c>
    </row>
    <row r="24" spans="1:6" x14ac:dyDescent="0.25">
      <c r="A24" t="s">
        <v>171</v>
      </c>
      <c r="B24">
        <v>338.09927411000001</v>
      </c>
      <c r="C24">
        <f>+Sheet2!G25</f>
        <v>-183.4</v>
      </c>
      <c r="D24">
        <f>+Sheet2!E25</f>
        <v>69.799126666666695</v>
      </c>
      <c r="E24">
        <f>+Sheet2!J25</f>
        <v>535.07500000000005</v>
      </c>
      <c r="F24">
        <f>Sheet1!H49*1000</f>
        <v>9091</v>
      </c>
    </row>
    <row r="25" spans="1:6" x14ac:dyDescent="0.25">
      <c r="A25" t="s">
        <v>172</v>
      </c>
      <c r="B25">
        <v>168.13309891</v>
      </c>
      <c r="C25">
        <f>+Sheet2!G26</f>
        <v>-374.3</v>
      </c>
      <c r="D25">
        <f>+Sheet2!E26</f>
        <v>70.330493333333294</v>
      </c>
      <c r="E25">
        <f>+Sheet2!J26</f>
        <v>507.745</v>
      </c>
      <c r="F25">
        <f>Sheet1!H50*1000</f>
        <v>9418</v>
      </c>
    </row>
    <row r="26" spans="1:6" x14ac:dyDescent="0.25">
      <c r="A26" t="s">
        <v>173</v>
      </c>
      <c r="B26">
        <v>240.38418608000001</v>
      </c>
      <c r="C26">
        <f>+Sheet2!G27</f>
        <v>-717.8</v>
      </c>
      <c r="D26">
        <f>+Sheet2!E27</f>
        <v>71.157143333333295</v>
      </c>
      <c r="E26">
        <f>+Sheet2!J27</f>
        <v>512.97</v>
      </c>
      <c r="F26">
        <f>Sheet1!H51*1000</f>
        <v>10271</v>
      </c>
    </row>
    <row r="27" spans="1:6" x14ac:dyDescent="0.25">
      <c r="A27" t="s">
        <v>174</v>
      </c>
      <c r="B27">
        <v>311.29886019000003</v>
      </c>
      <c r="C27">
        <f>+Sheet2!G28</f>
        <v>-173</v>
      </c>
      <c r="D27">
        <f>+Sheet2!E28</f>
        <v>72.419016666666707</v>
      </c>
      <c r="E27">
        <f>+Sheet2!J28</f>
        <v>500.91</v>
      </c>
      <c r="F27">
        <f>Sheet1!H52*1000</f>
        <v>10408</v>
      </c>
    </row>
    <row r="28" spans="1:6" x14ac:dyDescent="0.25">
      <c r="A28" t="s">
        <v>175</v>
      </c>
      <c r="B28">
        <v>274.04390656999999</v>
      </c>
      <c r="C28">
        <f>+Sheet2!G29</f>
        <v>-248.8</v>
      </c>
      <c r="D28">
        <f>+Sheet2!E29</f>
        <v>73.220399999999998</v>
      </c>
      <c r="E28">
        <f>+Sheet2!J29</f>
        <v>504.09</v>
      </c>
      <c r="F28">
        <f>Sheet1!H53*1000</f>
        <v>10314</v>
      </c>
    </row>
    <row r="29" spans="1:6" x14ac:dyDescent="0.25">
      <c r="A29" t="s">
        <v>176</v>
      </c>
      <c r="B29">
        <v>123.55365666</v>
      </c>
      <c r="C29">
        <f>+Sheet2!G30</f>
        <v>-888.6</v>
      </c>
      <c r="D29">
        <f>+Sheet2!E30</f>
        <v>73.992473333333294</v>
      </c>
      <c r="E29">
        <f>+Sheet2!J30</f>
        <v>514.11500000000001</v>
      </c>
      <c r="F29">
        <f>Sheet1!H54*1000</f>
        <v>10456</v>
      </c>
    </row>
    <row r="30" spans="1:6" x14ac:dyDescent="0.25">
      <c r="A30" t="s">
        <v>177</v>
      </c>
      <c r="B30">
        <v>236.84849224000001</v>
      </c>
      <c r="C30">
        <f>+Sheet2!G31</f>
        <v>-968.2</v>
      </c>
      <c r="D30">
        <f>+Sheet2!E31</f>
        <v>74.529103333333296</v>
      </c>
      <c r="E30">
        <f>+Sheet2!J31</f>
        <v>511.84</v>
      </c>
      <c r="F30">
        <f>Sheet1!H55*1000</f>
        <v>11585</v>
      </c>
    </row>
    <row r="31" spans="1:6" x14ac:dyDescent="0.25">
      <c r="A31" t="s">
        <v>178</v>
      </c>
      <c r="B31">
        <v>204.91109201</v>
      </c>
      <c r="C31">
        <f>+Sheet2!G32</f>
        <v>-455.2</v>
      </c>
      <c r="D31">
        <f>+Sheet2!E32</f>
        <v>75.430473333333296</v>
      </c>
      <c r="E31">
        <f>+Sheet2!J32</f>
        <v>508.08</v>
      </c>
      <c r="F31">
        <f>Sheet1!H56*1000</f>
        <v>11513</v>
      </c>
    </row>
    <row r="32" spans="1:6" x14ac:dyDescent="0.25">
      <c r="A32" t="s">
        <v>179</v>
      </c>
      <c r="B32">
        <v>210.56677296999999</v>
      </c>
      <c r="C32">
        <f>+Sheet2!G33</f>
        <v>-343.4</v>
      </c>
      <c r="D32">
        <f>+Sheet2!E33</f>
        <v>76.724526666666705</v>
      </c>
      <c r="E32">
        <f>+Sheet2!J33</f>
        <v>498.21</v>
      </c>
      <c r="F32">
        <f>Sheet1!H57*1000</f>
        <v>11335</v>
      </c>
    </row>
    <row r="33" spans="1:6" x14ac:dyDescent="0.25">
      <c r="A33" t="s">
        <v>180</v>
      </c>
      <c r="B33">
        <v>225.23929097000001</v>
      </c>
      <c r="C33">
        <f>+Sheet2!G34</f>
        <v>-613.9</v>
      </c>
      <c r="D33">
        <f>+Sheet2!E34</f>
        <v>77.111526666666705</v>
      </c>
      <c r="E33">
        <f>+Sheet2!J34</f>
        <v>497.86500000000001</v>
      </c>
      <c r="F33">
        <f>Sheet1!H58*1000</f>
        <v>11582</v>
      </c>
    </row>
    <row r="34" spans="1:6" x14ac:dyDescent="0.25">
      <c r="A34" t="s">
        <v>181</v>
      </c>
      <c r="B34">
        <v>309.73110234000001</v>
      </c>
      <c r="C34">
        <f>+Sheet2!G35</f>
        <v>-998.5</v>
      </c>
      <c r="D34">
        <f>+Sheet2!E35</f>
        <v>78.118650000000002</v>
      </c>
      <c r="E34">
        <f>+Sheet2!J35</f>
        <v>508.19499999999999</v>
      </c>
      <c r="F34">
        <f>Sheet1!H59*1000</f>
        <v>12801</v>
      </c>
    </row>
    <row r="35" spans="1:6" x14ac:dyDescent="0.25">
      <c r="A35" t="s">
        <v>182</v>
      </c>
      <c r="B35">
        <v>235.15141059999999</v>
      </c>
      <c r="C35">
        <f>+Sheet2!G36</f>
        <v>-466.8</v>
      </c>
      <c r="D35">
        <f>+Sheet2!E36</f>
        <v>80.071896666666703</v>
      </c>
      <c r="E35">
        <f>+Sheet2!J36</f>
        <v>498.685</v>
      </c>
      <c r="F35">
        <f>Sheet1!H60*1000</f>
        <v>12734</v>
      </c>
    </row>
    <row r="36" spans="1:6" x14ac:dyDescent="0.25">
      <c r="A36" t="s">
        <v>183</v>
      </c>
      <c r="B36">
        <v>195.91821718</v>
      </c>
      <c r="C36">
        <f>+Sheet2!G37</f>
        <v>-587.4</v>
      </c>
      <c r="D36">
        <f>+Sheet2!E37</f>
        <v>81.000986666666705</v>
      </c>
      <c r="E36">
        <f>+Sheet2!J37</f>
        <v>498.78</v>
      </c>
      <c r="F36">
        <f>Sheet1!H61*1000</f>
        <v>12310</v>
      </c>
    </row>
    <row r="37" spans="1:6" x14ac:dyDescent="0.25">
      <c r="A37" t="s">
        <v>184</v>
      </c>
      <c r="B37">
        <v>193.51918645999999</v>
      </c>
      <c r="C37">
        <f>+Sheet2!G38</f>
        <v>-617.5</v>
      </c>
      <c r="D37">
        <f>+Sheet2!E38</f>
        <v>81.350409999999997</v>
      </c>
      <c r="E37">
        <f>+Sheet2!J38</f>
        <v>499.54</v>
      </c>
      <c r="F37">
        <f>Sheet1!H62*1000</f>
        <v>12427</v>
      </c>
    </row>
    <row r="38" spans="1:6" x14ac:dyDescent="0.25">
      <c r="A38" t="s">
        <v>185</v>
      </c>
      <c r="B38">
        <v>167.85606884000001</v>
      </c>
      <c r="C38">
        <f>+Sheet2!G39</f>
        <v>-759.4</v>
      </c>
      <c r="D38">
        <f>+Sheet2!E39</f>
        <v>81.041776666666706</v>
      </c>
      <c r="E38">
        <f>+Sheet2!J39</f>
        <v>501.40499999999997</v>
      </c>
      <c r="F38">
        <f>Sheet1!H63*1000</f>
        <v>13479</v>
      </c>
    </row>
    <row r="39" spans="1:6" x14ac:dyDescent="0.25">
      <c r="A39" t="s">
        <v>186</v>
      </c>
      <c r="B39">
        <v>407.68561110000002</v>
      </c>
      <c r="C39">
        <f>+Sheet2!G40</f>
        <v>-611.20000000000005</v>
      </c>
      <c r="D39">
        <f>+Sheet2!E40</f>
        <v>82.501393333333297</v>
      </c>
      <c r="E39">
        <f>+Sheet2!J40</f>
        <v>545.98500000000001</v>
      </c>
      <c r="F39">
        <f>Sheet1!H64*1000</f>
        <v>13212</v>
      </c>
    </row>
    <row r="40" spans="1:6" x14ac:dyDescent="0.25">
      <c r="A40" t="s">
        <v>187</v>
      </c>
      <c r="B40">
        <v>183.84932823</v>
      </c>
      <c r="C40">
        <f>+Sheet2!G41</f>
        <v>-570.4</v>
      </c>
      <c r="D40">
        <f>+Sheet2!E41</f>
        <v>84.370323333333303</v>
      </c>
      <c r="E40">
        <f>+Sheet2!J41</f>
        <v>543.12</v>
      </c>
      <c r="F40">
        <f>Sheet1!H65*1000</f>
        <v>12272</v>
      </c>
    </row>
    <row r="41" spans="1:6" x14ac:dyDescent="0.25">
      <c r="A41" t="s">
        <v>188</v>
      </c>
      <c r="B41">
        <v>358.9549422</v>
      </c>
      <c r="C41">
        <f>+Sheet2!G42</f>
        <v>-700.2</v>
      </c>
      <c r="D41">
        <f>+Sheet2!E42</f>
        <v>85.655119999999997</v>
      </c>
      <c r="E41">
        <f>+Sheet2!J42</f>
        <v>539.77</v>
      </c>
      <c r="F41">
        <f>Sheet1!H66*1000</f>
        <v>12718</v>
      </c>
    </row>
    <row r="42" spans="1:6" x14ac:dyDescent="0.25">
      <c r="A42" t="s">
        <v>189</v>
      </c>
      <c r="B42">
        <v>381.00150407000001</v>
      </c>
      <c r="C42">
        <f>+Sheet2!G43</f>
        <v>-571.29999999999995</v>
      </c>
      <c r="D42">
        <f>+Sheet2!E43</f>
        <v>85.556749999999994</v>
      </c>
      <c r="E42">
        <f>+Sheet2!J43</f>
        <v>539.41999999999996</v>
      </c>
      <c r="F42">
        <f>Sheet1!H67*1000</f>
        <v>13815</v>
      </c>
    </row>
    <row r="43" spans="1:6" x14ac:dyDescent="0.25">
      <c r="A43" t="s">
        <v>190</v>
      </c>
      <c r="B43">
        <v>23.634096889999999</v>
      </c>
      <c r="C43">
        <f>+Sheet2!G44</f>
        <v>-255.5</v>
      </c>
      <c r="D43">
        <f>+Sheet2!E44</f>
        <v>85.512906666666694</v>
      </c>
      <c r="E43">
        <f>+Sheet2!J44</f>
        <v>533.22</v>
      </c>
      <c r="F43">
        <f>Sheet1!H68*1000</f>
        <v>14169</v>
      </c>
    </row>
    <row r="44" spans="1:6" x14ac:dyDescent="0.25">
      <c r="A44" t="s">
        <v>191</v>
      </c>
      <c r="B44">
        <v>303.45355689000002</v>
      </c>
      <c r="C44">
        <f>+Sheet2!G45</f>
        <v>-436.4</v>
      </c>
      <c r="D44">
        <f>+Sheet2!E45</f>
        <v>85.437406666666703</v>
      </c>
      <c r="E44">
        <f>+Sheet2!J45</f>
        <v>534.84</v>
      </c>
      <c r="F44">
        <f>Sheet1!H69*1000</f>
        <v>13830</v>
      </c>
    </row>
    <row r="45" spans="1:6" x14ac:dyDescent="0.25">
      <c r="A45" t="s">
        <v>192</v>
      </c>
      <c r="B45">
        <v>160.06795446000001</v>
      </c>
      <c r="C45">
        <f>+Sheet2!G46</f>
        <v>-706.9</v>
      </c>
      <c r="D45">
        <f>+Sheet2!E46</f>
        <v>85.105516666666702</v>
      </c>
      <c r="E45">
        <f>+Sheet2!J46</f>
        <v>534.83000000000004</v>
      </c>
      <c r="F45">
        <f>Sheet1!H70*1000</f>
        <v>13777</v>
      </c>
    </row>
    <row r="46" spans="1:6" x14ac:dyDescent="0.25">
      <c r="A46" t="s">
        <v>193</v>
      </c>
      <c r="B46">
        <v>287.55024867999998</v>
      </c>
      <c r="C46">
        <f>+Sheet2!G47</f>
        <v>-522.5</v>
      </c>
      <c r="D46">
        <f>+Sheet2!E47</f>
        <v>84.738696666666698</v>
      </c>
      <c r="E46">
        <f>+Sheet2!J47</f>
        <v>538.40499999999997</v>
      </c>
      <c r="F46">
        <f>Sheet1!H71*1000</f>
        <v>14666</v>
      </c>
    </row>
    <row r="47" spans="1:6" x14ac:dyDescent="0.25">
      <c r="A47" t="s">
        <v>194</v>
      </c>
      <c r="B47">
        <v>201.75804858000001</v>
      </c>
      <c r="C47">
        <f>+Sheet2!G48</f>
        <v>25.9</v>
      </c>
      <c r="D47">
        <f>+Sheet2!E48</f>
        <v>85.144723333333303</v>
      </c>
      <c r="E47">
        <f>+Sheet2!J48</f>
        <v>535.91</v>
      </c>
      <c r="F47">
        <f>Sheet1!H72*1000</f>
        <v>14695</v>
      </c>
    </row>
    <row r="48" spans="1:6" x14ac:dyDescent="0.25">
      <c r="A48" t="s">
        <v>195</v>
      </c>
      <c r="B48">
        <v>204.61966512000001</v>
      </c>
      <c r="C48">
        <f>+Sheet2!G49</f>
        <v>-309.8</v>
      </c>
      <c r="D48">
        <f>+Sheet2!E49</f>
        <v>84.802246666666704</v>
      </c>
      <c r="E48">
        <f>+Sheet2!J49</f>
        <v>547.93499999999995</v>
      </c>
      <c r="F48">
        <f>Sheet1!H73*1000</f>
        <v>14233</v>
      </c>
    </row>
    <row r="49" spans="1:6" x14ac:dyDescent="0.25">
      <c r="A49" t="s">
        <v>196</v>
      </c>
      <c r="B49">
        <v>189.86347991</v>
      </c>
      <c r="C49">
        <f>+Sheet2!G50</f>
        <v>-429.7</v>
      </c>
      <c r="D49">
        <f>+Sheet2!E50</f>
        <v>85.518960000000007</v>
      </c>
      <c r="E49">
        <f>+Sheet2!J50</f>
        <v>552.56500000000005</v>
      </c>
      <c r="F49">
        <f>Sheet1!H74*1000</f>
        <v>14172</v>
      </c>
    </row>
    <row r="50" spans="1:6" x14ac:dyDescent="0.25">
      <c r="A50" t="s">
        <v>197</v>
      </c>
      <c r="B50">
        <v>465.07814868000003</v>
      </c>
      <c r="C50">
        <f>+Sheet2!G51</f>
        <v>-543.79999999999995</v>
      </c>
      <c r="D50">
        <f>+Sheet2!E51</f>
        <v>85.269053333333304</v>
      </c>
      <c r="E50">
        <f>+Sheet2!J51</f>
        <v>554.64</v>
      </c>
      <c r="F50">
        <f>Sheet1!H75*1000</f>
        <v>15747</v>
      </c>
    </row>
    <row r="51" spans="1:6" x14ac:dyDescent="0.25">
      <c r="A51" t="s">
        <v>198</v>
      </c>
      <c r="B51">
        <v>471.73130499000001</v>
      </c>
      <c r="C51">
        <f>+Sheet2!G52</f>
        <v>-472</v>
      </c>
      <c r="D51">
        <f>+Sheet2!E52</f>
        <v>86.086543333333296</v>
      </c>
      <c r="E51">
        <f>+Sheet2!J52</f>
        <v>560.88499999999999</v>
      </c>
      <c r="F51">
        <f>Sheet1!H76*1000</f>
        <v>15444</v>
      </c>
    </row>
    <row r="52" spans="1:6" x14ac:dyDescent="0.25">
      <c r="A52" t="s">
        <v>199</v>
      </c>
      <c r="B52">
        <v>429.67199163999999</v>
      </c>
      <c r="C52">
        <f>+Sheet2!G53</f>
        <v>-334.3</v>
      </c>
      <c r="D52">
        <f>+Sheet2!E53</f>
        <v>86.2408966666667</v>
      </c>
      <c r="E52">
        <f>+Sheet2!J53</f>
        <v>573.48</v>
      </c>
      <c r="F52">
        <f>Sheet1!H77*1000</f>
        <v>14705</v>
      </c>
    </row>
    <row r="53" spans="1:6" x14ac:dyDescent="0.25">
      <c r="A53" t="s">
        <v>200</v>
      </c>
      <c r="B53">
        <v>321.03661183000003</v>
      </c>
      <c r="C53">
        <f>+Sheet2!G54</f>
        <v>-627.79999999999995</v>
      </c>
      <c r="D53">
        <f>+Sheet2!E54</f>
        <v>86.577076666666699</v>
      </c>
      <c r="E53">
        <f>+Sheet2!J54</f>
        <v>572.31500000000005</v>
      </c>
      <c r="F53">
        <f>Sheet1!H78*1000</f>
        <v>14465</v>
      </c>
    </row>
    <row r="54" spans="1:6" x14ac:dyDescent="0.25">
      <c r="A54" t="s">
        <v>201</v>
      </c>
      <c r="B54">
        <v>310.79109063999999</v>
      </c>
      <c r="C54">
        <f>+Sheet2!G55</f>
        <v>-754.6</v>
      </c>
      <c r="D54">
        <f>+Sheet2!E55</f>
        <v>87.369876666666698</v>
      </c>
      <c r="E54">
        <f>+Sheet2!J55</f>
        <v>569.49</v>
      </c>
      <c r="F54">
        <f>Sheet1!H79*1000</f>
        <v>15902</v>
      </c>
    </row>
    <row r="55" spans="1:6" x14ac:dyDescent="0.25">
      <c r="A55" t="s">
        <v>202</v>
      </c>
      <c r="B55">
        <v>230.83589807999999</v>
      </c>
      <c r="C55">
        <f>+Sheet2!G56</f>
        <v>-43.9</v>
      </c>
      <c r="D55">
        <f>+Sheet2!E56</f>
        <v>88.161926666666702</v>
      </c>
      <c r="E55">
        <f>+Sheet2!J56</f>
        <v>565.85500000000002</v>
      </c>
      <c r="F55">
        <f>Sheet1!H80*1000</f>
        <v>16382.000000000002</v>
      </c>
    </row>
    <row r="56" spans="1:6" x14ac:dyDescent="0.25">
      <c r="A56" t="s">
        <v>203</v>
      </c>
      <c r="B56">
        <v>370.96484396</v>
      </c>
      <c r="C56">
        <f>+Sheet2!G57</f>
        <v>-648.4</v>
      </c>
      <c r="D56">
        <f>+Sheet2!E57</f>
        <v>88.122383333333303</v>
      </c>
      <c r="E56">
        <f>+Sheet2!J57</f>
        <v>566.98</v>
      </c>
      <c r="F56">
        <f>Sheet1!H81*1000</f>
        <v>15699</v>
      </c>
    </row>
    <row r="57" spans="1:6" x14ac:dyDescent="0.25">
      <c r="A57" t="s">
        <v>204</v>
      </c>
      <c r="B57">
        <v>348.09348643999999</v>
      </c>
      <c r="C57">
        <f>+Sheet2!G58</f>
        <v>-246.1</v>
      </c>
      <c r="D57">
        <f>+Sheet2!E58</f>
        <v>88.4633933333333</v>
      </c>
      <c r="E57">
        <f>+Sheet2!J58</f>
        <v>582.57000000000005</v>
      </c>
      <c r="F57">
        <f>Sheet1!H82*1000</f>
        <v>15162</v>
      </c>
    </row>
    <row r="58" spans="1:6" x14ac:dyDescent="0.25">
      <c r="A58" t="s">
        <v>205</v>
      </c>
      <c r="B58">
        <v>1068.02630421</v>
      </c>
      <c r="C58">
        <f>+Sheet2!G59</f>
        <v>-928.9</v>
      </c>
      <c r="D58">
        <f>+Sheet2!E59</f>
        <v>89.218130000000002</v>
      </c>
      <c r="E58">
        <f>+Sheet2!J59</f>
        <v>608.07000000000005</v>
      </c>
      <c r="F58">
        <f>Sheet1!H83*1000</f>
        <v>15324</v>
      </c>
    </row>
    <row r="59" spans="1:6" x14ac:dyDescent="0.25">
      <c r="A59" t="s">
        <v>206</v>
      </c>
      <c r="B59">
        <v>364.68399405000002</v>
      </c>
      <c r="C59">
        <f>+Sheet2!G60</f>
        <v>-65.400000000000006</v>
      </c>
      <c r="D59">
        <f>+Sheet2!E60</f>
        <v>89.520136666666701</v>
      </c>
      <c r="E59">
        <f>+Sheet2!J60</f>
        <v>601.13</v>
      </c>
      <c r="F59">
        <f>Sheet1!H84*1000</f>
        <v>15695</v>
      </c>
    </row>
    <row r="60" spans="1:6" x14ac:dyDescent="0.25">
      <c r="A60" t="s">
        <v>207</v>
      </c>
      <c r="B60">
        <v>315.92240671000002</v>
      </c>
      <c r="C60">
        <f>+Sheet2!G61</f>
        <v>109.6</v>
      </c>
      <c r="D60">
        <f>+Sheet2!E61</f>
        <v>90.123756666666694</v>
      </c>
      <c r="E60">
        <f>+Sheet2!J61</f>
        <v>581.9</v>
      </c>
      <c r="F60">
        <f>Sheet1!H85*1000</f>
        <v>15559</v>
      </c>
    </row>
    <row r="61" spans="1:6" x14ac:dyDescent="0.25">
      <c r="A61" t="s">
        <v>208</v>
      </c>
      <c r="B61">
        <v>298.91389121999998</v>
      </c>
      <c r="C61">
        <f>+Sheet2!G62</f>
        <v>-147.69999999999999</v>
      </c>
      <c r="D61">
        <f>+Sheet2!E62</f>
        <v>90.903123333333298</v>
      </c>
      <c r="E61">
        <f>+Sheet2!J62</f>
        <v>580.90499999999997</v>
      </c>
      <c r="F61">
        <f>Sheet1!H86*1000</f>
        <v>16163</v>
      </c>
    </row>
    <row r="62" spans="1:6" x14ac:dyDescent="0.25">
      <c r="A62" t="s">
        <v>209</v>
      </c>
      <c r="B62">
        <v>818.32401669000001</v>
      </c>
      <c r="C62">
        <f>+Sheet2!G63</f>
        <v>-647.29999999999995</v>
      </c>
      <c r="D62">
        <f>+Sheet2!E63</f>
        <v>90.838639999999998</v>
      </c>
      <c r="E62">
        <f>+Sheet2!J63</f>
        <v>573.29</v>
      </c>
      <c r="F62">
        <f>Sheet1!H87*1000</f>
        <v>17335</v>
      </c>
    </row>
    <row r="63" spans="1:6" x14ac:dyDescent="0.25">
      <c r="A63" t="s">
        <v>210</v>
      </c>
      <c r="B63">
        <v>433.65206204999998</v>
      </c>
      <c r="C63">
        <f>+Sheet2!G64</f>
        <v>222.4</v>
      </c>
      <c r="D63">
        <f>+Sheet2!E64</f>
        <v>91.095603333333301</v>
      </c>
      <c r="E63">
        <f>+Sheet2!J64</f>
        <v>583.43499999999995</v>
      </c>
      <c r="F63">
        <f>Sheet1!H88*1000</f>
        <v>17438</v>
      </c>
    </row>
    <row r="64" spans="1:6" x14ac:dyDescent="0.25">
      <c r="A64" t="s">
        <v>211</v>
      </c>
      <c r="B64">
        <v>154.60234625999999</v>
      </c>
      <c r="C64">
        <f>+Sheet2!G65</f>
        <v>-109.2</v>
      </c>
      <c r="D64">
        <f>+Sheet2!E65</f>
        <v>90.667603333333304</v>
      </c>
      <c r="E64">
        <f>+Sheet2!J65</f>
        <v>580.5</v>
      </c>
      <c r="F64">
        <f>Sheet1!H89*1000</f>
        <v>14595</v>
      </c>
    </row>
    <row r="65" spans="1:6" x14ac:dyDescent="0.25">
      <c r="A65" t="s">
        <v>212</v>
      </c>
      <c r="B65">
        <v>324.06558945</v>
      </c>
      <c r="C65">
        <f>+Sheet2!G66</f>
        <v>-279.5</v>
      </c>
      <c r="D65">
        <f>+Sheet2!E66</f>
        <v>90.922093333333294</v>
      </c>
      <c r="E65">
        <f>+Sheet2!J66</f>
        <v>603.56500000000005</v>
      </c>
      <c r="F65">
        <f>Sheet1!H90*1000</f>
        <v>14662</v>
      </c>
    </row>
    <row r="66" spans="1:6" x14ac:dyDescent="0.25">
      <c r="A66" t="s">
        <v>213</v>
      </c>
      <c r="B66">
        <v>543.39902974999995</v>
      </c>
      <c r="C66">
        <f>+Sheet2!G67</f>
        <v>-458.9</v>
      </c>
      <c r="D66">
        <f>+Sheet2!E67</f>
        <v>91.3198266666667</v>
      </c>
      <c r="E66">
        <f>+Sheet2!J67</f>
        <v>613.91499999999996</v>
      </c>
      <c r="F66">
        <f>Sheet1!H91*1000</f>
        <v>16111.999999999998</v>
      </c>
    </row>
    <row r="67" spans="1:6" x14ac:dyDescent="0.25">
      <c r="A67" t="s">
        <v>214</v>
      </c>
      <c r="B67">
        <v>504.04866213999998</v>
      </c>
      <c r="C67">
        <f>+Sheet2!G68</f>
        <v>-353.2</v>
      </c>
      <c r="D67">
        <f>+Sheet2!E68</f>
        <v>91.655903333333299</v>
      </c>
      <c r="E67">
        <f>+Sheet2!J68</f>
        <v>613.04999999999995</v>
      </c>
      <c r="F67">
        <f>Sheet1!H92*1000</f>
        <v>16175</v>
      </c>
    </row>
    <row r="68" spans="1:6" x14ac:dyDescent="0.25">
      <c r="A68" t="s">
        <v>215</v>
      </c>
      <c r="B68">
        <v>634.74604299999999</v>
      </c>
      <c r="C68">
        <f>+Sheet2!G69</f>
        <v>-208.2</v>
      </c>
      <c r="D68">
        <f>+Sheet2!E69</f>
        <v>92.015280000000004</v>
      </c>
      <c r="E68">
        <f>+Sheet2!J69</f>
        <v>618.58500000000004</v>
      </c>
      <c r="F68">
        <f>Sheet1!H93*1000</f>
        <v>15518</v>
      </c>
    </row>
    <row r="69" spans="1:6" x14ac:dyDescent="0.25">
      <c r="A69" t="s">
        <v>216</v>
      </c>
      <c r="B69">
        <v>1000.61502582</v>
      </c>
      <c r="C69">
        <f>+Sheet2!G70</f>
        <v>-393.5</v>
      </c>
      <c r="D69">
        <f>+Sheet2!E70</f>
        <v>92.513746666666606</v>
      </c>
      <c r="E69">
        <f>+Sheet2!J70</f>
        <v>626.47500000000002</v>
      </c>
      <c r="F69">
        <f>Sheet1!H94*1000</f>
        <v>16343</v>
      </c>
    </row>
    <row r="70" spans="1:6" x14ac:dyDescent="0.25">
      <c r="A70" t="s">
        <v>217</v>
      </c>
      <c r="B70">
        <v>422.88292732999997</v>
      </c>
      <c r="C70">
        <f>+Sheet2!G71</f>
        <v>-1223.4000000000001</v>
      </c>
      <c r="D70">
        <f>+Sheet2!E71</f>
        <v>94.1050166666667</v>
      </c>
      <c r="E70">
        <f>+Sheet2!J71</f>
        <v>642.15499999999997</v>
      </c>
      <c r="F70">
        <f>Sheet1!H95*1000</f>
        <v>17553</v>
      </c>
    </row>
    <row r="71" spans="1:6" x14ac:dyDescent="0.25">
      <c r="A71" t="s">
        <v>218</v>
      </c>
      <c r="B71">
        <v>1321.09785162</v>
      </c>
      <c r="C71">
        <f>+Sheet2!G72</f>
        <v>-743.9</v>
      </c>
      <c r="D71">
        <f>+Sheet2!E72</f>
        <v>95.989923333333294</v>
      </c>
      <c r="E71">
        <f>+Sheet2!J72</f>
        <v>663.79</v>
      </c>
      <c r="F71">
        <f>Sheet1!H96*1000</f>
        <v>17504</v>
      </c>
    </row>
    <row r="72" spans="1:6" x14ac:dyDescent="0.25">
      <c r="A72" t="s">
        <v>219</v>
      </c>
      <c r="B72">
        <v>866.28251914999998</v>
      </c>
      <c r="C72">
        <f>+Sheet2!G73</f>
        <v>-454.9</v>
      </c>
      <c r="D72">
        <f>+Sheet2!E73</f>
        <v>99.968066666666601</v>
      </c>
      <c r="E72">
        <f>+Sheet2!J73</f>
        <v>688.505</v>
      </c>
      <c r="F72">
        <f>Sheet1!H97*1000</f>
        <v>16135.000000000002</v>
      </c>
    </row>
    <row r="73" spans="1:6" x14ac:dyDescent="0.25">
      <c r="A73" t="s">
        <v>220</v>
      </c>
      <c r="B73">
        <v>459.72570702000002</v>
      </c>
      <c r="C73">
        <f>+Sheet2!G74</f>
        <v>-271.10000000000002</v>
      </c>
      <c r="D73">
        <f>+Sheet2!E74</f>
        <v>102.98854</v>
      </c>
      <c r="E73">
        <f>+Sheet2!J74</f>
        <v>628.66999999999996</v>
      </c>
      <c r="F73">
        <f>Sheet1!H98*1000</f>
        <v>17158</v>
      </c>
    </row>
    <row r="74" spans="1:6" x14ac:dyDescent="0.25">
      <c r="A74" t="s">
        <v>221</v>
      </c>
      <c r="B74">
        <v>1832.53244043</v>
      </c>
      <c r="C74">
        <f>+Sheet2!G75</f>
        <v>-381</v>
      </c>
      <c r="D74">
        <f>+Sheet2!E75</f>
        <v>101.983533333333</v>
      </c>
      <c r="E74">
        <f>+Sheet2!J75</f>
        <v>598.08000000000004</v>
      </c>
      <c r="F74">
        <f>Sheet1!H99*1000</f>
        <v>20204</v>
      </c>
    </row>
    <row r="75" spans="1:6" x14ac:dyDescent="0.25">
      <c r="A75" t="s">
        <v>222</v>
      </c>
      <c r="B75">
        <v>742.88601684000002</v>
      </c>
      <c r="C75">
        <f>+Sheet2!G76</f>
        <v>-338.6</v>
      </c>
      <c r="D75">
        <f>+Sheet2!E76</f>
        <v>101.62676</v>
      </c>
      <c r="E75">
        <f>+Sheet2!J76</f>
        <v>543.16999999999996</v>
      </c>
      <c r="F75">
        <f>Sheet1!H100*1000</f>
        <v>21378</v>
      </c>
    </row>
    <row r="76" spans="1:6" x14ac:dyDescent="0.25">
      <c r="A76" t="s">
        <v>223</v>
      </c>
      <c r="B76">
        <v>649.09313438000004</v>
      </c>
      <c r="C76">
        <f>+Sheet2!G77</f>
        <v>-110.3</v>
      </c>
      <c r="D76">
        <f>+Sheet2!E77</f>
        <v>100.710383333333</v>
      </c>
      <c r="E76">
        <f>+Sheet2!J77</f>
        <v>546.30499999999995</v>
      </c>
      <c r="F76">
        <f>Sheet1!H101*1000</f>
        <v>20942</v>
      </c>
    </row>
    <row r="77" spans="1:6" x14ac:dyDescent="0.25">
      <c r="A77" t="s">
        <v>224</v>
      </c>
      <c r="B77">
        <v>583.63987947999999</v>
      </c>
      <c r="C77">
        <f>+Sheet2!G78</f>
        <v>-442</v>
      </c>
      <c r="D77">
        <f>+Sheet2!E78</f>
        <v>100.30929</v>
      </c>
      <c r="E77">
        <f>+Sheet2!J78</f>
        <v>535.15499999999997</v>
      </c>
      <c r="F77">
        <f>Sheet1!H102*1000</f>
        <v>21604</v>
      </c>
    </row>
    <row r="78" spans="1:6" x14ac:dyDescent="0.25">
      <c r="A78" t="s">
        <v>225</v>
      </c>
      <c r="B78">
        <v>1247.9422213400001</v>
      </c>
      <c r="C78">
        <f>+Sheet2!G79</f>
        <v>-354.4</v>
      </c>
      <c r="D78">
        <f>+Sheet2!E79</f>
        <v>100.389253333333</v>
      </c>
      <c r="E78">
        <f>+Sheet2!J79</f>
        <v>523.04499999999996</v>
      </c>
      <c r="F78">
        <f>Sheet1!H103*1000</f>
        <v>23590</v>
      </c>
    </row>
    <row r="79" spans="1:6" x14ac:dyDescent="0.25">
      <c r="A79" t="s">
        <v>226</v>
      </c>
      <c r="B79">
        <v>919.5660239</v>
      </c>
      <c r="C79">
        <f>+Sheet2!G80</f>
        <v>-15.2</v>
      </c>
      <c r="D79">
        <f>+Sheet2!E80</f>
        <v>100.207073333333</v>
      </c>
      <c r="E79">
        <f>+Sheet2!J80</f>
        <v>502.995</v>
      </c>
      <c r="F79">
        <f>Sheet1!H104*1000</f>
        <v>24088</v>
      </c>
    </row>
    <row r="80" spans="1:6" x14ac:dyDescent="0.25">
      <c r="A80" t="s">
        <v>227</v>
      </c>
      <c r="B80">
        <v>816.70806454000001</v>
      </c>
      <c r="C80">
        <f>+Sheet2!G81</f>
        <v>-368.3</v>
      </c>
      <c r="D80">
        <f>+Sheet2!E81</f>
        <v>100.41161</v>
      </c>
      <c r="E80">
        <f>+Sheet2!J81</f>
        <v>526.94500000000005</v>
      </c>
      <c r="F80">
        <f>Sheet1!H105*1000</f>
        <v>23396</v>
      </c>
    </row>
    <row r="81" spans="1:6" x14ac:dyDescent="0.25">
      <c r="A81" t="s">
        <v>228</v>
      </c>
      <c r="B81">
        <v>1026.20827762</v>
      </c>
      <c r="C81">
        <f>+Sheet2!G82</f>
        <v>-168.1</v>
      </c>
      <c r="D81">
        <f>+Sheet2!E82</f>
        <v>100.378916666667</v>
      </c>
      <c r="E81">
        <f>+Sheet2!J82</f>
        <v>519.86500000000001</v>
      </c>
      <c r="F81">
        <f>Sheet1!H106*1000</f>
        <v>23273</v>
      </c>
    </row>
    <row r="82" spans="1:6" x14ac:dyDescent="0.25">
      <c r="A82" t="s">
        <v>229</v>
      </c>
      <c r="B82">
        <v>1098.5880871899999</v>
      </c>
      <c r="C82">
        <f>+Sheet2!G83</f>
        <v>-287.8</v>
      </c>
      <c r="D82">
        <f>+Sheet2!E83</f>
        <v>100.376473333333</v>
      </c>
      <c r="E82">
        <f>+Sheet2!J83</f>
        <v>509.69499999999999</v>
      </c>
      <c r="F82">
        <f>Sheet1!H107*1000</f>
        <v>25961</v>
      </c>
    </row>
    <row r="83" spans="1:6" x14ac:dyDescent="0.25">
      <c r="A83" t="s">
        <v>230</v>
      </c>
      <c r="B83">
        <v>645.12799948999998</v>
      </c>
      <c r="C83">
        <f>+Sheet2!G84</f>
        <v>-55.2</v>
      </c>
      <c r="D83">
        <f>+Sheet2!E84</f>
        <v>101.412743333333</v>
      </c>
      <c r="E83">
        <f>+Sheet2!J84</f>
        <v>500.64</v>
      </c>
      <c r="F83">
        <f>Sheet1!H108*1000</f>
        <v>25697</v>
      </c>
    </row>
    <row r="84" spans="1:6" x14ac:dyDescent="0.25">
      <c r="A84" t="s">
        <v>231</v>
      </c>
      <c r="B84">
        <v>1068.2032140700001</v>
      </c>
      <c r="C84">
        <f>+Sheet2!G85</f>
        <v>-130.19999999999999</v>
      </c>
      <c r="D84">
        <f>+Sheet2!E85</f>
        <v>100.42519666666701</v>
      </c>
      <c r="E84">
        <f>+Sheet2!J85</f>
        <v>505.14</v>
      </c>
      <c r="F84">
        <f>Sheet1!H109*1000</f>
        <v>24442</v>
      </c>
    </row>
    <row r="85" spans="1:6" x14ac:dyDescent="0.25">
      <c r="A85" t="s">
        <v>232</v>
      </c>
      <c r="B85">
        <v>1162.76650389</v>
      </c>
      <c r="C85">
        <f>+Sheet2!G86</f>
        <v>-225.1</v>
      </c>
      <c r="D85">
        <f>+Sheet2!E86</f>
        <v>99.526700000000005</v>
      </c>
      <c r="E85">
        <f>+Sheet2!J86</f>
        <v>502.32499999999999</v>
      </c>
      <c r="F85">
        <f>Sheet1!H110*1000</f>
        <v>25254</v>
      </c>
    </row>
    <row r="86" spans="1:6" x14ac:dyDescent="0.25">
      <c r="A86" t="s">
        <v>233</v>
      </c>
      <c r="B86">
        <v>942.74053081</v>
      </c>
      <c r="C86">
        <f>+Sheet2!G87</f>
        <v>-161.69999999999999</v>
      </c>
      <c r="D86">
        <f>+Sheet2!D87</f>
        <v>99.711633333333296</v>
      </c>
      <c r="E86">
        <f>+Sheet2!I87</f>
        <v>498.6</v>
      </c>
      <c r="F86">
        <f>Sheet1!H111*1000</f>
        <v>27512</v>
      </c>
    </row>
    <row r="87" spans="1:6" x14ac:dyDescent="0.25">
      <c r="A87" t="s">
        <v>234</v>
      </c>
      <c r="B87">
        <v>992.62455333000003</v>
      </c>
      <c r="C87">
        <f>+Sheet2!G88</f>
        <v>-92.6</v>
      </c>
      <c r="D87">
        <f>+Sheet2!D88</f>
        <v>98.926360000000003</v>
      </c>
      <c r="E87">
        <f>+Sheet2!I88</f>
        <v>464.96499999999997</v>
      </c>
      <c r="F87">
        <f>Sheet1!H112*1000</f>
        <v>27535</v>
      </c>
    </row>
    <row r="88" spans="1:6" x14ac:dyDescent="0.25">
      <c r="A88" t="s">
        <v>235</v>
      </c>
      <c r="B88">
        <v>1015.60558601</v>
      </c>
      <c r="C88">
        <f>+Sheet2!C89*(Sheet2!F98-Sheet2!G88)/(Sheet2!B98-Sheet2!C88)</f>
        <v>-532.9915558459893</v>
      </c>
      <c r="D88">
        <f>+Sheet2!D89</f>
        <v>99.44323</v>
      </c>
      <c r="E88">
        <f>+Sheet2!I89</f>
        <v>454.53</v>
      </c>
      <c r="F88">
        <f>Sheet1!H113*1000</f>
        <v>27480</v>
      </c>
    </row>
    <row r="89" spans="1:6" x14ac:dyDescent="0.25">
      <c r="A89" t="s">
        <v>236</v>
      </c>
      <c r="C89">
        <f>+Sheet2!C90*(Sheet2!F98-Sheet2!G88)/(Sheet2!B98-Sheet2!C88)</f>
        <v>-540.3201897388717</v>
      </c>
      <c r="D89">
        <f>+Sheet2!D90</f>
        <v>99.458101815406906</v>
      </c>
      <c r="E89">
        <f>+Sheet2!I90</f>
        <v>448.81169412442301</v>
      </c>
      <c r="F89" s="16">
        <f>F88*Sheet2!C90/Sheet2!C89</f>
        <v>27857.85</v>
      </c>
    </row>
    <row r="90" spans="1:6" x14ac:dyDescent="0.25">
      <c r="A90" t="s">
        <v>237</v>
      </c>
      <c r="C90">
        <f>+Sheet2!C91*(Sheet2!F98-Sheet2!G88)/(Sheet2!B98-Sheet2!C88)</f>
        <v>-545.12416788211908</v>
      </c>
      <c r="D90">
        <f>+Sheet2!D91</f>
        <v>100.125854544113</v>
      </c>
      <c r="E90">
        <f>+Sheet2!I91</f>
        <v>448.889718021806</v>
      </c>
      <c r="F90" s="16">
        <f>F89*Sheet2!C91/Sheet2!C90</f>
        <v>28105.533697665534</v>
      </c>
    </row>
    <row r="91" spans="1:6" x14ac:dyDescent="0.25">
      <c r="A91" t="s">
        <v>238</v>
      </c>
      <c r="C91">
        <f>+Sheet2!C92*(Sheet2!$F$99)/(Sheet2!$B$99)</f>
        <v>-489.66737577522679</v>
      </c>
      <c r="D91">
        <f>+Sheet2!D92</f>
        <v>101.15735218638901</v>
      </c>
      <c r="E91">
        <f>+Sheet2!I92</f>
        <v>448.889718021806</v>
      </c>
      <c r="F91" s="16">
        <f>F90*Sheet2!C92/Sheet2!C91</f>
        <v>28309.298816973544</v>
      </c>
    </row>
    <row r="92" spans="1:6" x14ac:dyDescent="0.25">
      <c r="A92" t="s">
        <v>239</v>
      </c>
      <c r="C92">
        <f>+Sheet2!C93*(Sheet2!$F$99)/(Sheet2!$B$99)</f>
        <v>-493.21746424959895</v>
      </c>
      <c r="D92">
        <f>+Sheet2!D93</f>
        <v>101.38984542159599</v>
      </c>
      <c r="E92">
        <f>+Sheet2!I93</f>
        <v>448.889718021806</v>
      </c>
      <c r="F92" s="16">
        <f>F91*Sheet2!C93/Sheet2!C92</f>
        <v>28514.5412333967</v>
      </c>
    </row>
    <row r="93" spans="1:6" x14ac:dyDescent="0.25">
      <c r="A93" t="s">
        <v>240</v>
      </c>
      <c r="C93">
        <f>+Sheet2!C94*(Sheet2!$F$99)/(Sheet2!$B$99)</f>
        <v>-496.7932908654094</v>
      </c>
      <c r="D93">
        <f>+Sheet2!D94</f>
        <v>101.91315235685801</v>
      </c>
      <c r="E93">
        <f>+Sheet2!I94</f>
        <v>448.889718021806</v>
      </c>
      <c r="F93" s="16">
        <f>F92*Sheet2!C94/Sheet2!C93</f>
        <v>28721.271657338875</v>
      </c>
    </row>
    <row r="94" spans="1:6" x14ac:dyDescent="0.25">
      <c r="A94" t="s">
        <v>241</v>
      </c>
      <c r="C94">
        <f>+Sheet2!C95*(Sheet2!$F$99)/(Sheet2!$B$99)</f>
        <v>-500.01898239051491</v>
      </c>
      <c r="D94">
        <f>+Sheet2!D95</f>
        <v>102.380705597196</v>
      </c>
      <c r="E94">
        <f>+Sheet2!I95</f>
        <v>448.889718021806</v>
      </c>
      <c r="F94" s="16">
        <f>F93*Sheet2!C95/Sheet2!C94</f>
        <v>28907.759607717479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90796-63C1-400E-9C1F-C4A9FBC405A5}">
  <dimension ref="A1:B92"/>
  <sheetViews>
    <sheetView workbookViewId="0">
      <selection activeCell="F6" sqref="F6"/>
    </sheetView>
  </sheetViews>
  <sheetFormatPr defaultRowHeight="12.5" x14ac:dyDescent="0.25"/>
  <sheetData>
    <row r="1" spans="1:2" x14ac:dyDescent="0.25">
      <c r="A1" t="s">
        <v>150</v>
      </c>
    </row>
    <row r="2" spans="1:2" x14ac:dyDescent="0.25">
      <c r="A2" t="s">
        <v>151</v>
      </c>
      <c r="B2">
        <v>-1.61964697500663</v>
      </c>
    </row>
    <row r="3" spans="1:2" x14ac:dyDescent="0.25">
      <c r="A3" t="s">
        <v>152</v>
      </c>
      <c r="B3">
        <v>0.35556287424278799</v>
      </c>
    </row>
    <row r="4" spans="1:2" x14ac:dyDescent="0.25">
      <c r="A4" t="s">
        <v>153</v>
      </c>
      <c r="B4">
        <v>-1.7576383379246501</v>
      </c>
    </row>
    <row r="5" spans="1:2" x14ac:dyDescent="0.25">
      <c r="A5" t="s">
        <v>154</v>
      </c>
      <c r="B5">
        <v>1.6395660162380601</v>
      </c>
    </row>
    <row r="6" spans="1:2" x14ac:dyDescent="0.25">
      <c r="A6" t="s">
        <v>155</v>
      </c>
      <c r="B6">
        <v>0.24642519982564001</v>
      </c>
    </row>
    <row r="7" spans="1:2" x14ac:dyDescent="0.25">
      <c r="A7" t="s">
        <v>156</v>
      </c>
      <c r="B7">
        <v>-2.1906560140712399</v>
      </c>
    </row>
    <row r="8" spans="1:2" x14ac:dyDescent="0.25">
      <c r="A8" t="s">
        <v>157</v>
      </c>
      <c r="B8">
        <v>-2.3797204491555699</v>
      </c>
    </row>
    <row r="9" spans="1:2" x14ac:dyDescent="0.25">
      <c r="A9" t="s">
        <v>158</v>
      </c>
      <c r="B9">
        <v>8.2941874239700605E-2</v>
      </c>
    </row>
    <row r="10" spans="1:2" x14ac:dyDescent="0.25">
      <c r="A10" t="s">
        <v>159</v>
      </c>
      <c r="B10">
        <v>3.8880890167551501</v>
      </c>
    </row>
    <row r="11" spans="1:2" x14ac:dyDescent="0.25">
      <c r="A11" t="s">
        <v>160</v>
      </c>
      <c r="B11">
        <v>-1.80414265254016</v>
      </c>
    </row>
    <row r="12" spans="1:2" x14ac:dyDescent="0.25">
      <c r="A12" t="s">
        <v>161</v>
      </c>
      <c r="B12">
        <v>-1.41166167988772</v>
      </c>
    </row>
    <row r="13" spans="1:2" x14ac:dyDescent="0.25">
      <c r="A13" t="s">
        <v>162</v>
      </c>
      <c r="B13">
        <v>0.527259103981781</v>
      </c>
    </row>
    <row r="14" spans="1:2" x14ac:dyDescent="0.25">
      <c r="A14" t="s">
        <v>163</v>
      </c>
      <c r="B14">
        <v>1.09684938215343</v>
      </c>
    </row>
    <row r="15" spans="1:2" x14ac:dyDescent="0.25">
      <c r="A15" t="s">
        <v>164</v>
      </c>
      <c r="B15">
        <v>1.01328515534967</v>
      </c>
    </row>
    <row r="16" spans="1:2" x14ac:dyDescent="0.25">
      <c r="A16" t="s">
        <v>165</v>
      </c>
      <c r="B16">
        <v>-0.90151233497939798</v>
      </c>
    </row>
    <row r="17" spans="1:2" x14ac:dyDescent="0.25">
      <c r="A17" t="s">
        <v>166</v>
      </c>
      <c r="B17">
        <v>-4.6783621608994101</v>
      </c>
    </row>
    <row r="18" spans="1:2" x14ac:dyDescent="0.25">
      <c r="A18" t="s">
        <v>167</v>
      </c>
      <c r="B18">
        <v>-2.8919089450161599</v>
      </c>
    </row>
    <row r="19" spans="1:2" x14ac:dyDescent="0.25">
      <c r="A19" t="s">
        <v>168</v>
      </c>
      <c r="B19">
        <v>-1.9247111432073101</v>
      </c>
    </row>
    <row r="20" spans="1:2" x14ac:dyDescent="0.25">
      <c r="A20" t="s">
        <v>169</v>
      </c>
      <c r="B20">
        <v>0.37897329532438601</v>
      </c>
    </row>
    <row r="21" spans="1:2" x14ac:dyDescent="0.25">
      <c r="A21" t="s">
        <v>170</v>
      </c>
      <c r="B21">
        <v>3.16972346414618</v>
      </c>
    </row>
    <row r="22" spans="1:2" x14ac:dyDescent="0.25">
      <c r="A22" t="s">
        <v>171</v>
      </c>
      <c r="B22">
        <v>2.43847532504694</v>
      </c>
    </row>
    <row r="23" spans="1:2" x14ac:dyDescent="0.25">
      <c r="A23" t="s">
        <v>172</v>
      </c>
      <c r="B23">
        <v>0.105549515228876</v>
      </c>
    </row>
    <row r="24" spans="1:2" x14ac:dyDescent="0.25">
      <c r="A24" t="s">
        <v>173</v>
      </c>
      <c r="B24">
        <v>0.280214716987089</v>
      </c>
    </row>
    <row r="25" spans="1:2" x14ac:dyDescent="0.25">
      <c r="A25" t="s">
        <v>174</v>
      </c>
      <c r="B25">
        <v>2.5108170731724901</v>
      </c>
    </row>
    <row r="26" spans="1:2" x14ac:dyDescent="0.25">
      <c r="A26" t="s">
        <v>175</v>
      </c>
      <c r="B26">
        <v>1.5939132936696101</v>
      </c>
    </row>
    <row r="27" spans="1:2" x14ac:dyDescent="0.25">
      <c r="A27" t="s">
        <v>176</v>
      </c>
      <c r="B27">
        <v>-0.59705139553639897</v>
      </c>
    </row>
    <row r="28" spans="1:2" x14ac:dyDescent="0.25">
      <c r="A28" t="s">
        <v>177</v>
      </c>
      <c r="B28">
        <v>3.30300365210228E-2</v>
      </c>
    </row>
    <row r="29" spans="1:2" x14ac:dyDescent="0.25">
      <c r="A29" t="s">
        <v>178</v>
      </c>
      <c r="B29">
        <v>0.55903753898818698</v>
      </c>
    </row>
    <row r="30" spans="1:2" x14ac:dyDescent="0.25">
      <c r="A30" t="s">
        <v>179</v>
      </c>
      <c r="B30">
        <v>0.70741328146709404</v>
      </c>
    </row>
    <row r="31" spans="1:2" x14ac:dyDescent="0.25">
      <c r="A31" t="s">
        <v>180</v>
      </c>
      <c r="B31">
        <v>0.63854115714234305</v>
      </c>
    </row>
    <row r="32" spans="1:2" x14ac:dyDescent="0.25">
      <c r="A32" t="s">
        <v>181</v>
      </c>
      <c r="B32">
        <v>-0.61944057849573197</v>
      </c>
    </row>
    <row r="33" spans="1:2" x14ac:dyDescent="0.25">
      <c r="A33" t="s">
        <v>182</v>
      </c>
      <c r="B33">
        <v>-1.02307424436762</v>
      </c>
    </row>
    <row r="34" spans="1:2" x14ac:dyDescent="0.25">
      <c r="A34" t="s">
        <v>183</v>
      </c>
      <c r="B34">
        <v>-1.53924938165295</v>
      </c>
    </row>
    <row r="35" spans="1:2" x14ac:dyDescent="0.25">
      <c r="A35" t="s">
        <v>184</v>
      </c>
      <c r="B35">
        <v>-0.224697819879075</v>
      </c>
    </row>
    <row r="36" spans="1:2" x14ac:dyDescent="0.25">
      <c r="A36" t="s">
        <v>185</v>
      </c>
      <c r="B36">
        <v>-1.6671155488785501</v>
      </c>
    </row>
    <row r="37" spans="1:2" x14ac:dyDescent="0.25">
      <c r="A37" t="s">
        <v>186</v>
      </c>
      <c r="B37">
        <v>2.0309676513386798</v>
      </c>
    </row>
    <row r="38" spans="1:2" x14ac:dyDescent="0.25">
      <c r="A38" t="s">
        <v>187</v>
      </c>
      <c r="B38">
        <v>-0.76096892997607601</v>
      </c>
    </row>
    <row r="39" spans="1:2" x14ac:dyDescent="0.25">
      <c r="A39" t="s">
        <v>188</v>
      </c>
      <c r="B39">
        <v>2.2629499847625398</v>
      </c>
    </row>
    <row r="40" spans="1:2" x14ac:dyDescent="0.25">
      <c r="A40" t="s">
        <v>189</v>
      </c>
      <c r="B40">
        <v>0.50234631932433604</v>
      </c>
    </row>
    <row r="41" spans="1:2" x14ac:dyDescent="0.25">
      <c r="A41" t="s">
        <v>190</v>
      </c>
      <c r="B41">
        <v>-2.99479838951618</v>
      </c>
    </row>
    <row r="42" spans="1:2" x14ac:dyDescent="0.25">
      <c r="A42" t="s">
        <v>191</v>
      </c>
      <c r="B42">
        <v>0.190264772287426</v>
      </c>
    </row>
    <row r="43" spans="1:2" x14ac:dyDescent="0.25">
      <c r="A43" t="s">
        <v>192</v>
      </c>
      <c r="B43">
        <v>-1.0105954929679299</v>
      </c>
    </row>
    <row r="44" spans="1:2" x14ac:dyDescent="0.25">
      <c r="A44" t="s">
        <v>193</v>
      </c>
      <c r="B44">
        <v>-1.0596052174736701</v>
      </c>
    </row>
    <row r="45" spans="1:2" x14ac:dyDescent="0.25">
      <c r="A45" t="s">
        <v>194</v>
      </c>
      <c r="B45">
        <v>-1.33660837997577</v>
      </c>
    </row>
    <row r="46" spans="1:2" x14ac:dyDescent="0.25">
      <c r="A46" t="s">
        <v>195</v>
      </c>
      <c r="B46">
        <v>-1.1783265951787301</v>
      </c>
    </row>
    <row r="47" spans="1:2" x14ac:dyDescent="0.25">
      <c r="A47" t="s">
        <v>196</v>
      </c>
      <c r="B47">
        <v>-0.76806529567390602</v>
      </c>
    </row>
    <row r="48" spans="1:2" x14ac:dyDescent="0.25">
      <c r="A48" t="s">
        <v>197</v>
      </c>
      <c r="B48">
        <v>0.147038138103807</v>
      </c>
    </row>
    <row r="49" spans="1:2" x14ac:dyDescent="0.25">
      <c r="A49" t="s">
        <v>198</v>
      </c>
      <c r="B49">
        <v>0.662301563023454</v>
      </c>
    </row>
    <row r="50" spans="1:2" x14ac:dyDescent="0.25">
      <c r="A50" t="s">
        <v>199</v>
      </c>
      <c r="B50">
        <v>-0.25692902450230798</v>
      </c>
    </row>
    <row r="51" spans="1:2" x14ac:dyDescent="0.25">
      <c r="A51" t="s">
        <v>200</v>
      </c>
      <c r="B51">
        <v>-0.217561402618867</v>
      </c>
    </row>
    <row r="52" spans="1:2" x14ac:dyDescent="0.25">
      <c r="A52" t="s">
        <v>201</v>
      </c>
      <c r="B52">
        <v>-1.7425213305790801</v>
      </c>
    </row>
    <row r="53" spans="1:2" x14ac:dyDescent="0.25">
      <c r="A53" t="s">
        <v>202</v>
      </c>
      <c r="B53">
        <v>-1.6956348989446399</v>
      </c>
    </row>
    <row r="54" spans="1:2" x14ac:dyDescent="0.25">
      <c r="A54" t="s">
        <v>203</v>
      </c>
      <c r="B54">
        <v>-0.99054851342126804</v>
      </c>
    </row>
    <row r="55" spans="1:2" x14ac:dyDescent="0.25">
      <c r="A55" t="s">
        <v>204</v>
      </c>
      <c r="B55">
        <v>-0.63298106118819997</v>
      </c>
    </row>
    <row r="56" spans="1:2" x14ac:dyDescent="0.25">
      <c r="A56" t="s">
        <v>205</v>
      </c>
      <c r="B56">
        <v>2.76358028843666</v>
      </c>
    </row>
    <row r="57" spans="1:2" x14ac:dyDescent="0.25">
      <c r="A57" t="s">
        <v>206</v>
      </c>
      <c r="B57">
        <v>-1.7284932026334501</v>
      </c>
    </row>
    <row r="58" spans="1:2" x14ac:dyDescent="0.25">
      <c r="A58" t="s">
        <v>207</v>
      </c>
      <c r="B58">
        <v>-1.0521499870656399</v>
      </c>
    </row>
    <row r="59" spans="1:2" x14ac:dyDescent="0.25">
      <c r="A59" t="s">
        <v>208</v>
      </c>
      <c r="B59">
        <v>-0.51051860961664997</v>
      </c>
    </row>
    <row r="60" spans="1:2" x14ac:dyDescent="0.25">
      <c r="A60" t="s">
        <v>209</v>
      </c>
      <c r="B60">
        <v>1.8377521810017099</v>
      </c>
    </row>
    <row r="61" spans="1:2" x14ac:dyDescent="0.25">
      <c r="A61" t="s">
        <v>210</v>
      </c>
      <c r="B61">
        <v>-1.0009206077441799</v>
      </c>
    </row>
    <row r="62" spans="1:2" x14ac:dyDescent="0.25">
      <c r="A62" t="s">
        <v>211</v>
      </c>
      <c r="B62">
        <v>-2.5473555103496599</v>
      </c>
    </row>
    <row r="63" spans="1:2" x14ac:dyDescent="0.25">
      <c r="A63" t="s">
        <v>212</v>
      </c>
      <c r="B63">
        <v>-0.68535402222370001</v>
      </c>
    </row>
    <row r="64" spans="1:2" x14ac:dyDescent="0.25">
      <c r="A64" t="s">
        <v>213</v>
      </c>
      <c r="B64">
        <v>-0.45832750253184701</v>
      </c>
    </row>
    <row r="65" spans="1:2" x14ac:dyDescent="0.25">
      <c r="A65" t="s">
        <v>214</v>
      </c>
      <c r="B65">
        <v>0.193490021079746</v>
      </c>
    </row>
    <row r="66" spans="1:2" x14ac:dyDescent="0.25">
      <c r="A66" t="s">
        <v>215</v>
      </c>
      <c r="B66">
        <v>1.65181858814918</v>
      </c>
    </row>
    <row r="67" spans="1:2" x14ac:dyDescent="0.25">
      <c r="A67" t="s">
        <v>216</v>
      </c>
      <c r="B67">
        <v>4.12026760226383</v>
      </c>
    </row>
    <row r="68" spans="1:2" x14ac:dyDescent="0.25">
      <c r="A68" t="s">
        <v>217</v>
      </c>
      <c r="B68">
        <v>-2.5804927715521302</v>
      </c>
    </row>
    <row r="69" spans="1:2" x14ac:dyDescent="0.25">
      <c r="A69" t="s">
        <v>218</v>
      </c>
      <c r="B69">
        <v>3.7130024999329199</v>
      </c>
    </row>
    <row r="70" spans="1:2" x14ac:dyDescent="0.25">
      <c r="A70" t="s">
        <v>219</v>
      </c>
      <c r="B70">
        <v>-0.50904268726579205</v>
      </c>
    </row>
    <row r="71" spans="1:2" x14ac:dyDescent="0.25">
      <c r="A71" t="s">
        <v>220</v>
      </c>
      <c r="B71">
        <v>-2.2291064275650201</v>
      </c>
    </row>
    <row r="72" spans="1:2" x14ac:dyDescent="0.25">
      <c r="A72" t="s">
        <v>221</v>
      </c>
      <c r="B72">
        <v>5.1351767303438898</v>
      </c>
    </row>
    <row r="73" spans="1:2" x14ac:dyDescent="0.25">
      <c r="A73" t="s">
        <v>222</v>
      </c>
      <c r="B73">
        <v>-1.6516362167462699</v>
      </c>
    </row>
    <row r="74" spans="1:2" x14ac:dyDescent="0.25">
      <c r="A74" t="s">
        <v>223</v>
      </c>
      <c r="B74">
        <v>-0.96009343977951001</v>
      </c>
    </row>
    <row r="75" spans="1:2" x14ac:dyDescent="0.25">
      <c r="A75" t="s">
        <v>224</v>
      </c>
      <c r="B75">
        <v>0.133080199025947</v>
      </c>
    </row>
    <row r="76" spans="1:2" x14ac:dyDescent="0.25">
      <c r="A76" t="s">
        <v>225</v>
      </c>
      <c r="B76">
        <v>3.35819103548085</v>
      </c>
    </row>
    <row r="77" spans="1:2" x14ac:dyDescent="0.25">
      <c r="A77" t="s">
        <v>226</v>
      </c>
      <c r="B77">
        <v>1.75370792590546</v>
      </c>
    </row>
    <row r="78" spans="1:2" x14ac:dyDescent="0.25">
      <c r="A78" t="s">
        <v>227</v>
      </c>
      <c r="B78">
        <v>-0.48561319161920102</v>
      </c>
    </row>
    <row r="79" spans="1:2" x14ac:dyDescent="0.25">
      <c r="A79" t="s">
        <v>228</v>
      </c>
      <c r="B79">
        <v>1.3095183269011099</v>
      </c>
    </row>
    <row r="80" spans="1:2" x14ac:dyDescent="0.25">
      <c r="A80" t="s">
        <v>229</v>
      </c>
      <c r="B80">
        <v>0.35400455594429198</v>
      </c>
    </row>
    <row r="81" spans="1:2" x14ac:dyDescent="0.25">
      <c r="A81" t="s">
        <v>230</v>
      </c>
      <c r="B81">
        <v>-2.3461839475351098</v>
      </c>
    </row>
    <row r="82" spans="1:2" x14ac:dyDescent="0.25">
      <c r="A82" t="s">
        <v>231</v>
      </c>
      <c r="B82">
        <v>1.4058554323189301</v>
      </c>
    </row>
    <row r="83" spans="1:2" x14ac:dyDescent="0.25">
      <c r="A83" t="s">
        <v>232</v>
      </c>
      <c r="B83">
        <v>2.85668652217137</v>
      </c>
    </row>
    <row r="84" spans="1:2" x14ac:dyDescent="0.25">
      <c r="A84" t="s">
        <v>233</v>
      </c>
      <c r="B84">
        <v>-0.21227154600967901</v>
      </c>
    </row>
    <row r="85" spans="1:2" x14ac:dyDescent="0.25">
      <c r="A85" t="s">
        <v>234</v>
      </c>
      <c r="B85">
        <v>1.6128973163160101</v>
      </c>
    </row>
    <row r="86" spans="1:2" x14ac:dyDescent="0.25">
      <c r="A86" t="s">
        <v>235</v>
      </c>
      <c r="B86">
        <v>1.57272888916052</v>
      </c>
    </row>
    <row r="87" spans="1:2" x14ac:dyDescent="0.25">
      <c r="A87" t="s">
        <v>236</v>
      </c>
    </row>
    <row r="88" spans="1:2" x14ac:dyDescent="0.25">
      <c r="A88" t="s">
        <v>237</v>
      </c>
    </row>
    <row r="89" spans="1:2" x14ac:dyDescent="0.25">
      <c r="A89" t="s">
        <v>238</v>
      </c>
    </row>
    <row r="90" spans="1:2" x14ac:dyDescent="0.25">
      <c r="A90" t="s">
        <v>239</v>
      </c>
    </row>
    <row r="91" spans="1:2" x14ac:dyDescent="0.25">
      <c r="A91" t="s">
        <v>240</v>
      </c>
    </row>
    <row r="92" spans="1:2" x14ac:dyDescent="0.25">
      <c r="A92" t="s">
        <v>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Sheet2</vt:lpstr>
      <vt:lpstr>Sheet3</vt:lpstr>
      <vt:lpstr>shock</vt:lpstr>
      <vt:lpstr>_DLX1.USE</vt:lpstr>
    </vt:vector>
  </TitlesOfParts>
  <Company>IMF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Alvarado, Alfredo</dc:creator>
  <cp:lastModifiedBy>Alvarado, Alfredo</cp:lastModifiedBy>
  <dcterms:created xsi:type="dcterms:W3CDTF">2026-10-22T12:51:51Z</dcterms:created>
  <dcterms:modified xsi:type="dcterms:W3CDTF">2026-10-29T20:03:12Z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2026-10-23T06:54:07Z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28b68c47-c07c-4d68-a954-5bcc2f7b7200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