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tlmonetaryfund-my.sharepoint.com/personal/aalvarado_imf_org/Documents/Personal/training_eviews_bcrp/"/>
    </mc:Choice>
  </mc:AlternateContent>
  <xr:revisionPtr revIDLastSave="43" documentId="11_F48C38378E027E9D58876550F6C7FE3CEFC9CF4B" xr6:coauthVersionLast="47" xr6:coauthVersionMax="47" xr10:uidLastSave="{5A5AC645-B0E0-4B20-86CD-B3D2683124BA}"/>
  <bookViews>
    <workbookView xWindow="1460" yWindow="1150" windowWidth="21070" windowHeight="9970" activeTab="3" xr2:uid="{00000000-000D-0000-FFFF-FFFF00000000}"/>
  </bookViews>
  <sheets>
    <sheet name="Matrix" sheetId="3" r:id="rId1"/>
    <sheet name="Fiji" sheetId="1" r:id="rId2"/>
    <sheet name="Fiji_Data_Transposed" sheetId="2" r:id="rId3"/>
    <sheet name="Fiji_new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7" i="7" l="1"/>
  <c r="D46" i="7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13" i="7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3" i="7"/>
  <c r="D4" i="7"/>
  <c r="D5" i="7"/>
  <c r="D6" i="7"/>
  <c r="D7" i="7" s="1"/>
  <c r="D8" i="7" s="1"/>
  <c r="D9" i="7" s="1"/>
  <c r="D10" i="7" s="1"/>
  <c r="D11" i="7" s="1"/>
  <c r="D12" i="7" s="1"/>
  <c r="B46" i="7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14" i="7"/>
  <c r="B15" i="7"/>
  <c r="B16" i="7"/>
  <c r="B17" i="7"/>
  <c r="B18" i="7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AS5" i="2"/>
  <c r="AR5" i="2"/>
  <c r="AQ5" i="2"/>
  <c r="AP5" i="2"/>
  <c r="AO5" i="2"/>
  <c r="AN5" i="2"/>
  <c r="AM5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S3" i="2"/>
  <c r="AR3" i="2"/>
  <c r="AQ3" i="2"/>
  <c r="AP3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C45" i="1"/>
  <c r="E45" i="1"/>
  <c r="E3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souliaris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Annual data...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Billions FJD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 xml:space="preserve">Billion USD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Real Effective Exchange Rate (Index)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 xml:space="preserve">Sugar output (1000 tonnes)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Sugar output (1000 tonnes)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souliaris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Annual data...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Billions FJD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4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 xml:space="preserve">Trillion USD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6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Real Effective Exchange Rate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7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Real Oil Price (USD)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8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Consumer Price Index</t>
        </r>
      </text>
    </comment>
    <comment ref="A9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 xml:space="preserve">Sugar output (1000 tonnes)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0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Sugar output (1000 tonnes)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souliaris</author>
  </authors>
  <commentList>
    <comment ref="B1" authorId="0" shapeId="0" xr:uid="{4BF3ECDD-5DD0-4AC1-9F4D-D838B581FC0D}">
      <text>
        <r>
          <rPr>
            <b/>
            <sz val="9"/>
            <color indexed="81"/>
            <rFont val="Tahoma"/>
            <family val="2"/>
          </rPr>
          <t>Billions FJD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0" shapeId="0" xr:uid="{FFCB2579-F7E1-4E65-A4F7-1AD404D34BBA}">
      <text>
        <r>
          <rPr>
            <b/>
            <sz val="9"/>
            <color indexed="81"/>
            <rFont val="Tahoma"/>
            <family val="2"/>
          </rPr>
          <t xml:space="preserve">Billion USD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" authorId="0" shapeId="0" xr:uid="{239B06ED-4BD5-48A2-B215-70023AE944E2}">
      <text>
        <r>
          <rPr>
            <b/>
            <sz val="9"/>
            <color indexed="81"/>
            <rFont val="Tahoma"/>
            <family val="2"/>
          </rPr>
          <t>Real Effective Exchange Rate (Index)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" authorId="0" shapeId="0" xr:uid="{898A05E1-F7AB-4941-8817-C51D5818F380}">
      <text>
        <r>
          <rPr>
            <b/>
            <sz val="9"/>
            <color indexed="81"/>
            <rFont val="Tahoma"/>
            <family val="2"/>
          </rPr>
          <t>https://www.fao.org/faostat/en/#data/QI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" authorId="0" shapeId="0" xr:uid="{B85603E3-565A-4386-B177-B408E6FDD34E}">
      <text>
        <r>
          <rPr>
            <b/>
            <sz val="9"/>
            <color indexed="81"/>
            <rFont val="Tahoma"/>
            <family val="2"/>
          </rPr>
          <t>Sugar output (1000 tonnes)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<sst xmlns="http://schemas.openxmlformats.org/spreadsheetml/2006/main" count="28" uniqueCount="11">
  <si>
    <t>RGDP_AUS</t>
  </si>
  <si>
    <t>REALOIL</t>
  </si>
  <si>
    <t>Date</t>
  </si>
  <si>
    <t>RGDP_FIJI</t>
  </si>
  <si>
    <t>REER_FIJI</t>
  </si>
  <si>
    <t>CPI_FIJI</t>
  </si>
  <si>
    <t>SUGAROUTPUT_FIJI</t>
  </si>
  <si>
    <t>SUGAROUTPUT_FIJI_MISSING</t>
  </si>
  <si>
    <t>G_REAL_GROWTH_FIJI</t>
  </si>
  <si>
    <t>G_SUGAR_OUTPUT</t>
  </si>
  <si>
    <t>G_REAL_GROWTH_AUS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</si>
</sst>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4"/>
  <sheetViews>
    <sheetView workbookViewId="0"/>
  </sheetViews>
  <sheetFormatPr defaultRowHeight="14.5" x14ac:dyDescent="0.35"/>
  <sheetData>
    <row r="1" spans="1:7" x14ac:dyDescent="0.35">
      <c r="A1">
        <v>1.6315999999999999</v>
      </c>
      <c r="B1">
        <v>406.2</v>
      </c>
      <c r="D1">
        <v>20.554052049999999</v>
      </c>
      <c r="F1">
        <v>9.8599999999999896E-2</v>
      </c>
      <c r="G1">
        <v>12.281843670000001</v>
      </c>
    </row>
    <row r="2" spans="1:7" x14ac:dyDescent="0.35">
      <c r="A2">
        <v>1.7436</v>
      </c>
      <c r="B2">
        <v>421.7</v>
      </c>
      <c r="D2">
        <v>24.024635480000001</v>
      </c>
      <c r="F2">
        <v>0.1087</v>
      </c>
      <c r="G2">
        <v>13.076423910000001</v>
      </c>
    </row>
    <row r="3" spans="1:7" x14ac:dyDescent="0.35">
      <c r="A3">
        <v>1.8744000000000001</v>
      </c>
      <c r="B3">
        <v>429.7</v>
      </c>
      <c r="D3">
        <v>25.298500820000001</v>
      </c>
      <c r="F3">
        <v>0.1263</v>
      </c>
      <c r="G3">
        <v>14.26828152</v>
      </c>
    </row>
    <row r="4" spans="1:7" x14ac:dyDescent="0.35">
      <c r="A4">
        <v>2.0920999999999998</v>
      </c>
      <c r="B4">
        <v>451.4</v>
      </c>
      <c r="D4">
        <v>26.726095709999999</v>
      </c>
      <c r="F4">
        <v>0.15959999999999999</v>
      </c>
      <c r="G4">
        <v>15.86878059</v>
      </c>
    </row>
    <row r="5" spans="1:7" x14ac:dyDescent="0.35">
      <c r="A5">
        <v>2.1453000000000002</v>
      </c>
      <c r="B5">
        <v>458</v>
      </c>
      <c r="D5">
        <v>86.065771179999999</v>
      </c>
      <c r="F5">
        <v>0.24349999999999999</v>
      </c>
      <c r="G5">
        <v>18.173046639999999</v>
      </c>
    </row>
    <row r="6" spans="1:7" x14ac:dyDescent="0.35">
      <c r="A6">
        <v>2.1442000000000001</v>
      </c>
      <c r="B6">
        <v>466.6</v>
      </c>
      <c r="D6">
        <v>77.871055269999999</v>
      </c>
      <c r="F6">
        <v>0.25840000000000002</v>
      </c>
      <c r="G6">
        <v>20.549261529999999</v>
      </c>
    </row>
    <row r="7" spans="1:7" x14ac:dyDescent="0.35">
      <c r="A7">
        <v>2.1821000000000002</v>
      </c>
      <c r="B7">
        <v>487.2</v>
      </c>
      <c r="D7">
        <v>74.273141260000003</v>
      </c>
      <c r="F7">
        <v>0.21990000000000001</v>
      </c>
      <c r="G7">
        <v>22.89201001</v>
      </c>
    </row>
    <row r="8" spans="1:7" x14ac:dyDescent="0.35">
      <c r="A8">
        <v>2.1063000000000001</v>
      </c>
      <c r="B8">
        <v>493.6</v>
      </c>
      <c r="D8">
        <v>75.546051439999999</v>
      </c>
      <c r="F8">
        <v>0.28100000000000003</v>
      </c>
      <c r="G8">
        <v>24.615604950000002</v>
      </c>
    </row>
    <row r="9" spans="1:7" x14ac:dyDescent="0.35">
      <c r="A9">
        <v>2.1472000000000002</v>
      </c>
      <c r="B9">
        <v>504.7</v>
      </c>
      <c r="D9">
        <v>71.672450449999999</v>
      </c>
      <c r="F9">
        <v>0.3165</v>
      </c>
      <c r="G9">
        <v>26.095006300000001</v>
      </c>
    </row>
    <row r="10" spans="1:7" x14ac:dyDescent="0.35">
      <c r="A10">
        <v>2.4110999999999998</v>
      </c>
      <c r="B10">
        <v>525.79999999999995</v>
      </c>
      <c r="D10">
        <v>150.39298640000001</v>
      </c>
      <c r="F10">
        <v>0.41099999999999998</v>
      </c>
      <c r="G10">
        <v>27.985360839999998</v>
      </c>
    </row>
    <row r="11" spans="1:7" x14ac:dyDescent="0.35">
      <c r="A11">
        <v>2.3702000000000001</v>
      </c>
      <c r="B11">
        <v>541</v>
      </c>
      <c r="C11">
        <v>145.523507</v>
      </c>
      <c r="D11">
        <v>158.62430079999999</v>
      </c>
      <c r="F11">
        <v>0.54239999999999999</v>
      </c>
      <c r="G11">
        <v>32.033164339999999</v>
      </c>
    </row>
    <row r="12" spans="1:7" x14ac:dyDescent="0.35">
      <c r="A12">
        <v>2.5125000000000002</v>
      </c>
      <c r="B12">
        <v>563.29999999999995</v>
      </c>
      <c r="C12">
        <v>149.59812400000001</v>
      </c>
      <c r="D12">
        <v>136.99507270000001</v>
      </c>
      <c r="F12">
        <v>0.48139999999999999</v>
      </c>
      <c r="G12">
        <v>35.620885209999997</v>
      </c>
    </row>
    <row r="13" spans="1:7" x14ac:dyDescent="0.35">
      <c r="A13">
        <v>2.4851000000000001</v>
      </c>
      <c r="B13">
        <v>563.70000000000005</v>
      </c>
      <c r="C13">
        <v>150.22906</v>
      </c>
      <c r="D13">
        <v>119.5918344</v>
      </c>
      <c r="F13">
        <v>0.4531</v>
      </c>
      <c r="G13">
        <v>38.119466709999998</v>
      </c>
    </row>
    <row r="14" spans="1:7" x14ac:dyDescent="0.35">
      <c r="A14">
        <v>2.3803999999999998</v>
      </c>
      <c r="B14">
        <v>561</v>
      </c>
      <c r="C14">
        <v>149.50779399999999</v>
      </c>
      <c r="D14">
        <v>108.3031198</v>
      </c>
      <c r="F14">
        <v>0.41549999999999998</v>
      </c>
      <c r="G14">
        <v>40.71415339</v>
      </c>
    </row>
    <row r="15" spans="1:7" x14ac:dyDescent="0.35">
      <c r="A15">
        <v>2.621</v>
      </c>
      <c r="B15">
        <v>596.6</v>
      </c>
      <c r="C15">
        <v>151.54519300000001</v>
      </c>
      <c r="D15">
        <v>100.5188801</v>
      </c>
      <c r="F15">
        <v>0.43430000000000002</v>
      </c>
      <c r="G15">
        <v>42.860371929999999</v>
      </c>
    </row>
    <row r="16" spans="1:7" x14ac:dyDescent="0.35">
      <c r="A16">
        <v>2.5221</v>
      </c>
      <c r="B16">
        <v>629.1</v>
      </c>
      <c r="C16">
        <v>153.658357</v>
      </c>
      <c r="D16">
        <v>93.09696443</v>
      </c>
      <c r="F16">
        <v>0.41820000000000002</v>
      </c>
      <c r="G16">
        <v>44.750335110000002</v>
      </c>
    </row>
    <row r="17" spans="1:10" x14ac:dyDescent="0.35">
      <c r="A17">
        <v>2.6884999999999999</v>
      </c>
      <c r="B17">
        <v>644.5</v>
      </c>
      <c r="C17">
        <v>138.165279</v>
      </c>
      <c r="D17">
        <v>47.28322223</v>
      </c>
      <c r="F17">
        <v>0.46179999999999999</v>
      </c>
      <c r="G17">
        <v>45.551166430000002</v>
      </c>
    </row>
    <row r="18" spans="1:10" x14ac:dyDescent="0.35">
      <c r="A18">
        <v>2.4950999999999999</v>
      </c>
      <c r="B18">
        <v>676.1</v>
      </c>
      <c r="C18">
        <v>117.477293</v>
      </c>
      <c r="D18">
        <v>58.62047639</v>
      </c>
      <c r="F18">
        <v>0.37380000000000002</v>
      </c>
      <c r="G18">
        <v>48.131081960000003</v>
      </c>
    </row>
    <row r="19" spans="1:10" x14ac:dyDescent="0.35">
      <c r="A19">
        <v>2.5813999999999999</v>
      </c>
      <c r="B19">
        <v>704.8</v>
      </c>
      <c r="C19">
        <v>99.757068000000004</v>
      </c>
      <c r="D19">
        <v>45.700695160000002</v>
      </c>
      <c r="F19">
        <v>0.49320000000000003</v>
      </c>
      <c r="G19">
        <v>53.790491410000001</v>
      </c>
    </row>
    <row r="20" spans="1:10" x14ac:dyDescent="0.35">
      <c r="A20">
        <v>2.9399000000000002</v>
      </c>
      <c r="B20">
        <v>738.1</v>
      </c>
      <c r="C20">
        <v>99.705547999999894</v>
      </c>
      <c r="D20">
        <v>52.873368229999997</v>
      </c>
      <c r="F20">
        <v>0.65459999999999996</v>
      </c>
      <c r="G20">
        <v>57.119775429999997</v>
      </c>
      <c r="H20">
        <v>5.1244115499999996</v>
      </c>
    </row>
    <row r="21" spans="1:10" x14ac:dyDescent="0.35">
      <c r="A21">
        <v>3.1105</v>
      </c>
      <c r="B21">
        <v>754.8</v>
      </c>
      <c r="C21">
        <v>100.46610200000001</v>
      </c>
      <c r="D21">
        <v>64.382400529999998</v>
      </c>
      <c r="F21">
        <v>0.73219999999999996</v>
      </c>
      <c r="G21">
        <v>61.79866827</v>
      </c>
      <c r="H21">
        <v>5.0546916639999999</v>
      </c>
      <c r="I21">
        <v>4016</v>
      </c>
      <c r="J21">
        <v>4016</v>
      </c>
    </row>
    <row r="22" spans="1:10" x14ac:dyDescent="0.35">
      <c r="A22">
        <v>3.0263</v>
      </c>
      <c r="B22">
        <v>745.7</v>
      </c>
      <c r="C22">
        <v>103.380059</v>
      </c>
      <c r="D22">
        <v>52.055009490000003</v>
      </c>
      <c r="F22">
        <v>0.70109999999999995</v>
      </c>
      <c r="G22">
        <v>65.813942310000002</v>
      </c>
      <c r="H22">
        <v>7.0765683299999997</v>
      </c>
      <c r="I22">
        <v>3380</v>
      </c>
      <c r="J22">
        <v>3380</v>
      </c>
    </row>
    <row r="23" spans="1:10" x14ac:dyDescent="0.35">
      <c r="A23">
        <v>3.2111000000000001</v>
      </c>
      <c r="B23">
        <v>765.9</v>
      </c>
      <c r="C23">
        <v>103.72026099999999</v>
      </c>
      <c r="D23">
        <v>49.653309380000003</v>
      </c>
      <c r="F23">
        <v>0.70899999999999996</v>
      </c>
      <c r="G23">
        <v>69.027651649999996</v>
      </c>
      <c r="H23">
        <v>2.4072903010000002</v>
      </c>
      <c r="I23">
        <v>3533</v>
      </c>
      <c r="J23">
        <v>3533</v>
      </c>
    </row>
    <row r="24" spans="1:10" x14ac:dyDescent="0.35">
      <c r="A24">
        <v>3.2947000000000002</v>
      </c>
      <c r="B24">
        <v>796.8</v>
      </c>
      <c r="C24">
        <v>107.430565</v>
      </c>
      <c r="D24">
        <v>42.523747929999999</v>
      </c>
      <c r="F24">
        <v>0.8196</v>
      </c>
      <c r="G24">
        <v>72.621641249999996</v>
      </c>
      <c r="H24">
        <v>2.0394219599999999</v>
      </c>
      <c r="I24">
        <v>3704</v>
      </c>
      <c r="J24">
        <v>3704</v>
      </c>
    </row>
    <row r="25" spans="1:10" x14ac:dyDescent="0.35">
      <c r="A25">
        <v>3.4624000000000001</v>
      </c>
      <c r="B25">
        <v>834.3</v>
      </c>
      <c r="C25">
        <v>107.70133800000001</v>
      </c>
      <c r="D25">
        <v>39.37799656</v>
      </c>
      <c r="F25">
        <v>0.99350000000000005</v>
      </c>
      <c r="G25">
        <v>73.20261438</v>
      </c>
      <c r="H25">
        <v>1.221041112</v>
      </c>
      <c r="I25">
        <v>4064</v>
      </c>
      <c r="J25">
        <v>4064</v>
      </c>
    </row>
    <row r="26" spans="1:10" x14ac:dyDescent="0.35">
      <c r="A26">
        <v>3.6326000000000001</v>
      </c>
      <c r="B26">
        <v>859.1</v>
      </c>
      <c r="C26">
        <v>105.65124900000001</v>
      </c>
      <c r="D26">
        <v>41.31958427</v>
      </c>
      <c r="E26">
        <v>1524.3789999999999</v>
      </c>
      <c r="F26">
        <v>1.0536000000000001</v>
      </c>
      <c r="G26">
        <v>74.800290489999995</v>
      </c>
      <c r="H26">
        <v>2.1026378870000002</v>
      </c>
      <c r="I26">
        <v>4110.2</v>
      </c>
      <c r="J26">
        <v>4110.2</v>
      </c>
    </row>
    <row r="27" spans="1:10" x14ac:dyDescent="0.35">
      <c r="A27">
        <v>3.8048000000000002</v>
      </c>
      <c r="B27">
        <v>895.9</v>
      </c>
      <c r="C27">
        <v>106.05056500000001</v>
      </c>
      <c r="D27">
        <v>47.535084050000002</v>
      </c>
      <c r="E27">
        <v>1551.857</v>
      </c>
      <c r="F27">
        <v>1.2035</v>
      </c>
      <c r="G27">
        <v>77.051561370000002</v>
      </c>
      <c r="H27">
        <v>1.804074822</v>
      </c>
      <c r="I27">
        <v>4380</v>
      </c>
      <c r="J27">
        <v>4380</v>
      </c>
    </row>
    <row r="28" spans="1:10" x14ac:dyDescent="0.35">
      <c r="A28">
        <v>3.7187999999999999</v>
      </c>
      <c r="B28">
        <v>932.4</v>
      </c>
      <c r="C28">
        <v>109.323742</v>
      </c>
      <c r="D28">
        <v>43.928104169999997</v>
      </c>
      <c r="E28">
        <v>1358.5350000000001</v>
      </c>
      <c r="F28">
        <v>1.1194</v>
      </c>
      <c r="G28">
        <v>79.665940449999894</v>
      </c>
      <c r="H28">
        <v>1.8559237749999999</v>
      </c>
      <c r="I28">
        <v>3280</v>
      </c>
      <c r="J28">
        <v>3280</v>
      </c>
    </row>
    <row r="29" spans="1:10" x14ac:dyDescent="0.35">
      <c r="A29">
        <v>3.7644000000000002</v>
      </c>
      <c r="B29">
        <v>978.9</v>
      </c>
      <c r="C29">
        <v>92.983952000000002</v>
      </c>
      <c r="D29">
        <v>29.353776379999999</v>
      </c>
      <c r="E29">
        <v>1353.828</v>
      </c>
      <c r="F29">
        <v>1.0692999999999999</v>
      </c>
      <c r="G29">
        <v>84.241103850000002</v>
      </c>
      <c r="H29">
        <v>1.3515691190000001</v>
      </c>
      <c r="I29">
        <v>2098</v>
      </c>
    </row>
    <row r="30" spans="1:10" x14ac:dyDescent="0.35">
      <c r="A30">
        <v>4.1112000000000002</v>
      </c>
      <c r="B30">
        <v>1019.7</v>
      </c>
      <c r="C30">
        <v>93.198896000000005</v>
      </c>
      <c r="D30">
        <v>39.503724060000003</v>
      </c>
      <c r="E30">
        <v>1546.107</v>
      </c>
      <c r="F30">
        <v>1.1913</v>
      </c>
      <c r="G30">
        <v>85.911401600000005</v>
      </c>
      <c r="H30">
        <v>3.682627793</v>
      </c>
      <c r="I30">
        <v>3958</v>
      </c>
      <c r="J30">
        <v>3958</v>
      </c>
    </row>
    <row r="31" spans="1:10" x14ac:dyDescent="0.35">
      <c r="A31">
        <v>4.0380000000000003</v>
      </c>
      <c r="B31">
        <v>1051.2</v>
      </c>
      <c r="C31">
        <v>90.232321999999996</v>
      </c>
      <c r="D31">
        <v>60.009860320000001</v>
      </c>
      <c r="E31">
        <v>1513.8589999999999</v>
      </c>
      <c r="F31">
        <v>0.94299999999999995</v>
      </c>
      <c r="G31">
        <v>86.855482929999994</v>
      </c>
      <c r="H31">
        <v>0.67727888300000005</v>
      </c>
      <c r="I31">
        <v>3786</v>
      </c>
      <c r="J31">
        <v>3786</v>
      </c>
    </row>
    <row r="32" spans="1:10" x14ac:dyDescent="0.35">
      <c r="A32">
        <v>4.1174999999999997</v>
      </c>
      <c r="B32">
        <v>1078.7</v>
      </c>
      <c r="C32">
        <v>91.391751999999997</v>
      </c>
      <c r="D32">
        <v>50.29690549</v>
      </c>
      <c r="E32">
        <v>1672.8002670000001</v>
      </c>
      <c r="F32">
        <v>0.90859999999999996</v>
      </c>
      <c r="G32">
        <v>90.559186639999893</v>
      </c>
      <c r="H32">
        <v>1.1846827879999999</v>
      </c>
      <c r="I32">
        <v>2805</v>
      </c>
      <c r="J32">
        <v>2805</v>
      </c>
    </row>
    <row r="33" spans="1:10" x14ac:dyDescent="0.35">
      <c r="A33">
        <v>4.2473999999999998</v>
      </c>
      <c r="B33">
        <v>1121.3</v>
      </c>
      <c r="C33">
        <v>91.669841000000005</v>
      </c>
      <c r="D33">
        <v>50.766781989999998</v>
      </c>
      <c r="E33">
        <v>2025.2204139999999</v>
      </c>
      <c r="F33">
        <v>0.98499999999999999</v>
      </c>
      <c r="G33">
        <v>91.212781410000005</v>
      </c>
      <c r="H33">
        <v>1.454696845</v>
      </c>
      <c r="I33">
        <v>3422</v>
      </c>
      <c r="J33">
        <v>3422</v>
      </c>
    </row>
    <row r="34" spans="1:10" x14ac:dyDescent="0.35">
      <c r="A34">
        <v>4.2896999999999998</v>
      </c>
      <c r="B34">
        <v>1155.4000000000001</v>
      </c>
      <c r="C34">
        <v>97.889978999999997</v>
      </c>
      <c r="D34">
        <v>57.466473129999997</v>
      </c>
      <c r="E34">
        <v>2354.9970640000001</v>
      </c>
      <c r="F34">
        <v>1.2464999999999999</v>
      </c>
      <c r="G34">
        <v>95.061728400000007</v>
      </c>
      <c r="H34">
        <v>1.999095716</v>
      </c>
      <c r="I34">
        <v>2610</v>
      </c>
      <c r="J34">
        <v>2610</v>
      </c>
    </row>
    <row r="35" spans="1:10" x14ac:dyDescent="0.35">
      <c r="A35">
        <v>4.5237999999999996</v>
      </c>
      <c r="B35">
        <v>1202.7</v>
      </c>
      <c r="C35">
        <v>99.843783000000002</v>
      </c>
      <c r="D35">
        <v>73.154431680000002</v>
      </c>
      <c r="E35">
        <v>2577.8331800000001</v>
      </c>
      <c r="F35">
        <v>1.3411</v>
      </c>
      <c r="G35">
        <v>97.748729119999894</v>
      </c>
      <c r="H35">
        <v>2.1042028749999999</v>
      </c>
      <c r="I35">
        <v>3001</v>
      </c>
      <c r="J35">
        <v>3001</v>
      </c>
    </row>
    <row r="36" spans="1:10" x14ac:dyDescent="0.35">
      <c r="A36">
        <v>4.6368</v>
      </c>
      <c r="B36">
        <v>1240.4000000000001</v>
      </c>
      <c r="C36">
        <v>100</v>
      </c>
      <c r="D36">
        <v>100</v>
      </c>
      <c r="E36">
        <v>2968.8314180000002</v>
      </c>
      <c r="F36">
        <v>1.5641</v>
      </c>
      <c r="G36">
        <v>100</v>
      </c>
      <c r="H36">
        <v>6.3185698490000002</v>
      </c>
      <c r="I36">
        <v>2789</v>
      </c>
    </row>
    <row r="37" spans="1:10" x14ac:dyDescent="0.35">
      <c r="A37">
        <v>4.7229000000000001</v>
      </c>
      <c r="B37">
        <v>1273.5</v>
      </c>
      <c r="C37">
        <v>97.790079000000006</v>
      </c>
      <c r="D37">
        <v>116.7035873</v>
      </c>
      <c r="E37">
        <v>3629.9219079999998</v>
      </c>
      <c r="F37">
        <v>1.5227999999999999</v>
      </c>
      <c r="G37">
        <v>102.52500000000001</v>
      </c>
      <c r="H37">
        <v>6.4</v>
      </c>
      <c r="I37">
        <v>3226</v>
      </c>
      <c r="J37">
        <v>3226</v>
      </c>
    </row>
    <row r="38" spans="1:10" x14ac:dyDescent="0.35">
      <c r="A38">
        <v>4.6822999999999997</v>
      </c>
      <c r="B38">
        <v>1331.4</v>
      </c>
      <c r="C38">
        <v>99.500412999999995</v>
      </c>
      <c r="D38">
        <v>125.5467556</v>
      </c>
      <c r="E38">
        <v>3930.786533</v>
      </c>
      <c r="F38">
        <v>1.6291</v>
      </c>
      <c r="G38">
        <v>107.45789606</v>
      </c>
      <c r="H38">
        <v>3.5186791300000002</v>
      </c>
      <c r="I38">
        <v>2478</v>
      </c>
      <c r="J38">
        <v>2478</v>
      </c>
    </row>
    <row r="39" spans="1:10" x14ac:dyDescent="0.35">
      <c r="A39">
        <v>4.7305999999999999</v>
      </c>
      <c r="B39">
        <v>1367.2</v>
      </c>
      <c r="C39">
        <v>102.174897</v>
      </c>
      <c r="D39">
        <v>164.9819554</v>
      </c>
      <c r="E39">
        <v>3676.5813699999999</v>
      </c>
      <c r="F39">
        <v>1.9835</v>
      </c>
      <c r="G39">
        <v>115.76038586</v>
      </c>
      <c r="H39">
        <v>12.62</v>
      </c>
      <c r="I39">
        <v>2321</v>
      </c>
      <c r="J39">
        <v>2321</v>
      </c>
    </row>
    <row r="40" spans="1:10" x14ac:dyDescent="0.35">
      <c r="A40">
        <v>4.665</v>
      </c>
      <c r="B40">
        <v>1388.3</v>
      </c>
      <c r="C40">
        <v>90.552314999999894</v>
      </c>
      <c r="D40">
        <v>105.37266150000001</v>
      </c>
      <c r="E40">
        <v>3936.950214</v>
      </c>
      <c r="F40">
        <v>1.4196</v>
      </c>
      <c r="G40">
        <v>119.99189825000001</v>
      </c>
      <c r="H40">
        <v>6.23</v>
      </c>
      <c r="I40">
        <v>2247</v>
      </c>
      <c r="J40">
        <v>2247</v>
      </c>
    </row>
    <row r="41" spans="1:10" x14ac:dyDescent="0.35">
      <c r="A41">
        <v>4.8029000000000002</v>
      </c>
      <c r="B41">
        <v>1419.5</v>
      </c>
      <c r="C41">
        <v>88.007182</v>
      </c>
      <c r="D41">
        <v>132.62860280000001</v>
      </c>
      <c r="E41">
        <v>4074.9951369999999</v>
      </c>
      <c r="F41">
        <v>1.8164</v>
      </c>
      <c r="G41">
        <v>124.4182789</v>
      </c>
      <c r="H41">
        <v>8.8868209700000005</v>
      </c>
      <c r="I41">
        <v>1778</v>
      </c>
      <c r="J41">
        <v>1778</v>
      </c>
    </row>
    <row r="42" spans="1:10" x14ac:dyDescent="0.35">
      <c r="A42">
        <v>4.9328000000000003</v>
      </c>
      <c r="B42">
        <v>1456.3</v>
      </c>
      <c r="C42">
        <v>92.155704999999998</v>
      </c>
      <c r="D42">
        <v>169.22961090000001</v>
      </c>
      <c r="E42">
        <v>4542.0000149999996</v>
      </c>
      <c r="F42">
        <v>2.2271999999999998</v>
      </c>
      <c r="G42">
        <v>133.47891819</v>
      </c>
      <c r="H42">
        <v>6.7</v>
      </c>
      <c r="I42">
        <v>2096</v>
      </c>
      <c r="J42">
        <v>2096</v>
      </c>
    </row>
    <row r="43" spans="1:10" x14ac:dyDescent="0.35">
      <c r="A43">
        <v>5.0231000000000003</v>
      </c>
      <c r="B43">
        <v>1508.8</v>
      </c>
      <c r="C43">
        <v>94.978415999999996</v>
      </c>
      <c r="D43">
        <v>167.3824424</v>
      </c>
      <c r="E43">
        <v>4809.785398</v>
      </c>
      <c r="F43">
        <v>2.4125000000000001</v>
      </c>
      <c r="G43">
        <v>138.03849446999999</v>
      </c>
      <c r="H43">
        <v>13.1</v>
      </c>
      <c r="I43">
        <v>1640</v>
      </c>
      <c r="J43">
        <v>1640</v>
      </c>
    </row>
    <row r="44" spans="1:10" x14ac:dyDescent="0.35">
      <c r="A44">
        <v>5.2563000000000004</v>
      </c>
      <c r="B44">
        <v>1543.9</v>
      </c>
      <c r="C44">
        <v>95.888873000000004</v>
      </c>
      <c r="D44">
        <v>163.49369100000001</v>
      </c>
      <c r="E44">
        <v>5722.9692249999998</v>
      </c>
      <c r="F44">
        <v>2.2664</v>
      </c>
      <c r="G44">
        <v>142.05282434</v>
      </c>
      <c r="H44">
        <v>19.399999999999999</v>
      </c>
      <c r="I44">
        <v>1760</v>
      </c>
      <c r="J44">
        <v>1760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3"/>
  <sheetViews>
    <sheetView topLeftCell="A19" zoomScaleNormal="100" workbookViewId="0">
      <selection activeCell="H24" sqref="H24:H45"/>
    </sheetView>
  </sheetViews>
  <sheetFormatPr defaultRowHeight="15" customHeight="1" x14ac:dyDescent="0.35"/>
  <cols>
    <col min="1" max="1" width="5.54296875" bestFit="1" customWidth="1"/>
    <col min="2" max="2" width="12" bestFit="1" customWidth="1"/>
    <col min="3" max="3" width="20" customWidth="1"/>
    <col min="4" max="4" width="17.453125" customWidth="1"/>
    <col min="5" max="5" width="25.7265625" customWidth="1"/>
    <col min="6" max="6" width="26.81640625" bestFit="1" customWidth="1"/>
    <col min="7" max="7" width="25.54296875" bestFit="1" customWidth="1"/>
    <col min="8" max="8" width="25.7265625" customWidth="1"/>
    <col min="9" max="9" width="27.1796875" bestFit="1" customWidth="1"/>
  </cols>
  <sheetData>
    <row r="1" spans="1:9" s="1" customFormat="1" ht="15" customHeight="1" x14ac:dyDescent="0.35">
      <c r="A1" s="1" t="s">
        <v>2</v>
      </c>
      <c r="B1" s="1" t="s">
        <v>3</v>
      </c>
      <c r="C1" s="1" t="s">
        <v>8</v>
      </c>
      <c r="D1" s="1" t="s">
        <v>0</v>
      </c>
      <c r="E1" s="1" t="s">
        <v>10</v>
      </c>
      <c r="F1" s="1" t="s">
        <v>4</v>
      </c>
      <c r="G1" s="1" t="s">
        <v>6</v>
      </c>
      <c r="H1" s="1" t="s">
        <v>9</v>
      </c>
      <c r="I1" s="1" t="s">
        <v>7</v>
      </c>
    </row>
    <row r="2" spans="1:9" ht="15" customHeight="1" x14ac:dyDescent="0.35">
      <c r="A2">
        <v>1970</v>
      </c>
      <c r="B2">
        <v>1.6315999999999999</v>
      </c>
      <c r="D2">
        <v>406.2</v>
      </c>
    </row>
    <row r="3" spans="1:9" ht="15" customHeight="1" x14ac:dyDescent="0.35">
      <c r="A3">
        <v>1971</v>
      </c>
      <c r="B3">
        <v>1.7436</v>
      </c>
      <c r="C3">
        <f>((B3-B2)/B2)*100</f>
        <v>6.8644275557734806</v>
      </c>
      <c r="D3">
        <v>421.7</v>
      </c>
      <c r="E3">
        <f>((D3-D2)/D2)*100</f>
        <v>3.8158542589857216</v>
      </c>
    </row>
    <row r="4" spans="1:9" ht="15" customHeight="1" x14ac:dyDescent="0.35">
      <c r="A4">
        <v>1972</v>
      </c>
      <c r="B4">
        <v>1.8744000000000001</v>
      </c>
      <c r="C4">
        <f t="shared" ref="C4:E45" si="0">((B4-B3)/B3)*100</f>
        <v>7.5017205781142478</v>
      </c>
      <c r="D4">
        <v>429.7</v>
      </c>
      <c r="E4">
        <f t="shared" si="0"/>
        <v>1.8970832345269151</v>
      </c>
    </row>
    <row r="5" spans="1:9" ht="15" customHeight="1" x14ac:dyDescent="0.35">
      <c r="A5">
        <v>1973</v>
      </c>
      <c r="B5">
        <v>2.0920999999999998</v>
      </c>
      <c r="C5">
        <f t="shared" si="0"/>
        <v>11.614383269312835</v>
      </c>
      <c r="D5">
        <v>451.4</v>
      </c>
      <c r="E5">
        <f t="shared" si="0"/>
        <v>5.050034908075399</v>
      </c>
    </row>
    <row r="6" spans="1:9" ht="15" customHeight="1" x14ac:dyDescent="0.35">
      <c r="A6">
        <v>1974</v>
      </c>
      <c r="B6">
        <v>2.1453000000000002</v>
      </c>
      <c r="C6">
        <f t="shared" si="0"/>
        <v>2.5428994789924171</v>
      </c>
      <c r="D6">
        <v>458</v>
      </c>
      <c r="E6">
        <f t="shared" si="0"/>
        <v>1.4621178555604837</v>
      </c>
    </row>
    <row r="7" spans="1:9" ht="15" customHeight="1" x14ac:dyDescent="0.35">
      <c r="A7">
        <v>1975</v>
      </c>
      <c r="B7">
        <v>2.1442000000000001</v>
      </c>
      <c r="C7">
        <f t="shared" si="0"/>
        <v>-5.1274879970172035E-2</v>
      </c>
      <c r="D7">
        <v>466.6</v>
      </c>
      <c r="E7">
        <f t="shared" si="0"/>
        <v>1.8777292576419264</v>
      </c>
    </row>
    <row r="8" spans="1:9" ht="15" customHeight="1" x14ac:dyDescent="0.35">
      <c r="A8">
        <v>1976</v>
      </c>
      <c r="B8">
        <v>2.1821000000000002</v>
      </c>
      <c r="C8">
        <f t="shared" si="0"/>
        <v>1.7675589963622815</v>
      </c>
      <c r="D8">
        <v>487.2</v>
      </c>
      <c r="E8">
        <f t="shared" si="0"/>
        <v>4.4149164166309394</v>
      </c>
    </row>
    <row r="9" spans="1:9" ht="15" customHeight="1" x14ac:dyDescent="0.35">
      <c r="A9">
        <v>1977</v>
      </c>
      <c r="B9">
        <v>2.1063000000000001</v>
      </c>
      <c r="C9">
        <f t="shared" si="0"/>
        <v>-3.4737179780945002</v>
      </c>
      <c r="D9">
        <v>493.6</v>
      </c>
      <c r="E9">
        <f t="shared" si="0"/>
        <v>1.3136288998358034</v>
      </c>
    </row>
    <row r="10" spans="1:9" ht="15" customHeight="1" x14ac:dyDescent="0.35">
      <c r="A10">
        <v>1978</v>
      </c>
      <c r="B10">
        <v>2.1472000000000002</v>
      </c>
      <c r="C10">
        <f t="shared" si="0"/>
        <v>1.9417936666191977</v>
      </c>
      <c r="D10">
        <v>504.7</v>
      </c>
      <c r="E10">
        <f t="shared" si="0"/>
        <v>2.2487844408427806</v>
      </c>
    </row>
    <row r="11" spans="1:9" ht="15" customHeight="1" x14ac:dyDescent="0.35">
      <c r="A11">
        <v>1979</v>
      </c>
      <c r="B11">
        <v>2.4110999999999998</v>
      </c>
      <c r="C11">
        <f t="shared" si="0"/>
        <v>12.29042473919521</v>
      </c>
      <c r="D11">
        <v>525.79999999999995</v>
      </c>
      <c r="E11">
        <f t="shared" si="0"/>
        <v>4.1807014067762962</v>
      </c>
    </row>
    <row r="12" spans="1:9" ht="15" customHeight="1" x14ac:dyDescent="0.35">
      <c r="A12">
        <v>1980</v>
      </c>
      <c r="B12">
        <v>2.3702000000000001</v>
      </c>
      <c r="C12">
        <f t="shared" si="0"/>
        <v>-1.6963211812035881</v>
      </c>
      <c r="D12">
        <v>541</v>
      </c>
      <c r="E12">
        <f t="shared" si="0"/>
        <v>2.8908330163560376</v>
      </c>
      <c r="F12">
        <v>145.523507</v>
      </c>
    </row>
    <row r="13" spans="1:9" ht="15" customHeight="1" x14ac:dyDescent="0.35">
      <c r="A13">
        <v>1981</v>
      </c>
      <c r="B13">
        <v>2.5125000000000002</v>
      </c>
      <c r="C13">
        <f t="shared" si="0"/>
        <v>6.0037127668551218</v>
      </c>
      <c r="D13">
        <v>563.29999999999995</v>
      </c>
      <c r="E13">
        <f t="shared" si="0"/>
        <v>4.1219963031423212</v>
      </c>
      <c r="F13">
        <v>149.59812400000001</v>
      </c>
    </row>
    <row r="14" spans="1:9" ht="15" customHeight="1" x14ac:dyDescent="0.35">
      <c r="A14">
        <v>1982</v>
      </c>
      <c r="B14">
        <v>2.4851000000000001</v>
      </c>
      <c r="C14">
        <f t="shared" si="0"/>
        <v>-1.0905472636815956</v>
      </c>
      <c r="D14">
        <v>563.70000000000005</v>
      </c>
      <c r="E14">
        <f t="shared" si="0"/>
        <v>7.1010118941965378E-2</v>
      </c>
      <c r="F14">
        <v>150.22906</v>
      </c>
    </row>
    <row r="15" spans="1:9" ht="15" customHeight="1" x14ac:dyDescent="0.35">
      <c r="A15">
        <v>1983</v>
      </c>
      <c r="B15">
        <v>2.3803999999999998</v>
      </c>
      <c r="C15">
        <f t="shared" si="0"/>
        <v>-4.2131101364130314</v>
      </c>
      <c r="D15">
        <v>561</v>
      </c>
      <c r="E15">
        <f t="shared" si="0"/>
        <v>-0.47897817988292446</v>
      </c>
      <c r="F15">
        <v>149.50779399999999</v>
      </c>
    </row>
    <row r="16" spans="1:9" ht="15" customHeight="1" x14ac:dyDescent="0.35">
      <c r="A16">
        <v>1984</v>
      </c>
      <c r="B16">
        <v>2.621</v>
      </c>
      <c r="C16">
        <f t="shared" si="0"/>
        <v>10.107544950428506</v>
      </c>
      <c r="D16">
        <v>596.6</v>
      </c>
      <c r="E16">
        <f t="shared" si="0"/>
        <v>6.345811051693409</v>
      </c>
      <c r="F16">
        <v>151.54519300000001</v>
      </c>
    </row>
    <row r="17" spans="1:9" ht="15" customHeight="1" x14ac:dyDescent="0.35">
      <c r="A17">
        <v>1985</v>
      </c>
      <c r="B17">
        <v>2.5221</v>
      </c>
      <c r="C17">
        <f t="shared" si="0"/>
        <v>-3.7733689431514685</v>
      </c>
      <c r="D17">
        <v>629.1</v>
      </c>
      <c r="E17">
        <f t="shared" si="0"/>
        <v>5.4475360375460937</v>
      </c>
      <c r="F17">
        <v>153.658357</v>
      </c>
    </row>
    <row r="18" spans="1:9" ht="15" customHeight="1" x14ac:dyDescent="0.35">
      <c r="A18">
        <v>1986</v>
      </c>
      <c r="B18">
        <v>2.6884999999999999</v>
      </c>
      <c r="C18">
        <f t="shared" si="0"/>
        <v>6.597676539391772</v>
      </c>
      <c r="D18">
        <v>644.5</v>
      </c>
      <c r="E18">
        <f t="shared" si="0"/>
        <v>2.4479415037354917</v>
      </c>
      <c r="F18">
        <v>138.165279</v>
      </c>
    </row>
    <row r="19" spans="1:9" ht="15" customHeight="1" x14ac:dyDescent="0.35">
      <c r="A19">
        <v>1987</v>
      </c>
      <c r="B19">
        <v>2.4950999999999999</v>
      </c>
      <c r="C19">
        <f t="shared" si="0"/>
        <v>-7.1936023805095779</v>
      </c>
      <c r="D19">
        <v>676.1</v>
      </c>
      <c r="E19">
        <f t="shared" si="0"/>
        <v>4.9030256012412758</v>
      </c>
      <c r="F19">
        <v>117.477293</v>
      </c>
    </row>
    <row r="20" spans="1:9" ht="15" customHeight="1" x14ac:dyDescent="0.35">
      <c r="A20">
        <v>1988</v>
      </c>
      <c r="B20">
        <v>2.5813999999999999</v>
      </c>
      <c r="C20">
        <f t="shared" si="0"/>
        <v>3.458779207246204</v>
      </c>
      <c r="D20">
        <v>704.8</v>
      </c>
      <c r="E20">
        <f t="shared" si="0"/>
        <v>4.2449341813341119</v>
      </c>
      <c r="F20">
        <v>99.757068000000004</v>
      </c>
    </row>
    <row r="21" spans="1:9" ht="15" customHeight="1" x14ac:dyDescent="0.35">
      <c r="A21">
        <v>1989</v>
      </c>
      <c r="B21">
        <v>2.9399000000000002</v>
      </c>
      <c r="C21">
        <f t="shared" si="0"/>
        <v>13.887812814751696</v>
      </c>
      <c r="D21">
        <v>738.1</v>
      </c>
      <c r="E21">
        <f t="shared" si="0"/>
        <v>4.7247446083995559</v>
      </c>
      <c r="F21">
        <v>99.705547999999894</v>
      </c>
    </row>
    <row r="22" spans="1:9" ht="15" customHeight="1" x14ac:dyDescent="0.35">
      <c r="A22">
        <v>1990</v>
      </c>
      <c r="B22">
        <v>3.1105</v>
      </c>
      <c r="C22">
        <f t="shared" si="0"/>
        <v>5.8029184666145053</v>
      </c>
      <c r="D22">
        <v>754.8</v>
      </c>
      <c r="E22">
        <f t="shared" si="0"/>
        <v>2.2625660479609717</v>
      </c>
      <c r="F22">
        <v>100.46610200000001</v>
      </c>
      <c r="G22">
        <v>4016</v>
      </c>
      <c r="I22">
        <v>4016</v>
      </c>
    </row>
    <row r="23" spans="1:9" ht="15" customHeight="1" x14ac:dyDescent="0.35">
      <c r="A23">
        <v>1991</v>
      </c>
      <c r="B23">
        <v>3.0263</v>
      </c>
      <c r="C23">
        <f t="shared" si="0"/>
        <v>-2.7069602957723857</v>
      </c>
      <c r="D23">
        <v>745.7</v>
      </c>
      <c r="E23">
        <f t="shared" si="0"/>
        <v>-1.2056173820879583</v>
      </c>
      <c r="F23">
        <v>103.380059</v>
      </c>
      <c r="G23">
        <v>3380</v>
      </c>
      <c r="H23">
        <f t="shared" ref="H23:H45" si="1">((G23-G22)/G22)*100</f>
        <v>-15.836653386454183</v>
      </c>
      <c r="I23">
        <v>3380</v>
      </c>
    </row>
    <row r="24" spans="1:9" ht="15" customHeight="1" x14ac:dyDescent="0.35">
      <c r="A24">
        <v>1992</v>
      </c>
      <c r="B24">
        <v>3.2111000000000001</v>
      </c>
      <c r="C24">
        <f t="shared" si="0"/>
        <v>6.1064666424346585</v>
      </c>
      <c r="D24">
        <v>765.9</v>
      </c>
      <c r="E24">
        <f t="shared" si="0"/>
        <v>2.7088641544857088</v>
      </c>
      <c r="F24">
        <v>103.72026099999999</v>
      </c>
      <c r="G24">
        <v>3533</v>
      </c>
      <c r="H24">
        <f t="shared" si="1"/>
        <v>4.5266272189349106</v>
      </c>
      <c r="I24">
        <v>3533</v>
      </c>
    </row>
    <row r="25" spans="1:9" ht="15" customHeight="1" x14ac:dyDescent="0.35">
      <c r="A25">
        <v>1993</v>
      </c>
      <c r="B25">
        <v>3.2947000000000002</v>
      </c>
      <c r="C25">
        <f t="shared" si="0"/>
        <v>2.6034692161564612</v>
      </c>
      <c r="D25">
        <v>796.8</v>
      </c>
      <c r="E25">
        <f t="shared" si="0"/>
        <v>4.0344692518605534</v>
      </c>
      <c r="F25">
        <v>107.430565</v>
      </c>
      <c r="G25">
        <v>3704</v>
      </c>
      <c r="H25">
        <f t="shared" si="1"/>
        <v>4.8400792527596943</v>
      </c>
      <c r="I25">
        <v>3704</v>
      </c>
    </row>
    <row r="26" spans="1:9" ht="15" customHeight="1" x14ac:dyDescent="0.35">
      <c r="A26">
        <v>1994</v>
      </c>
      <c r="B26">
        <v>3.4624000000000001</v>
      </c>
      <c r="C26">
        <f t="shared" si="0"/>
        <v>5.0899930190912661</v>
      </c>
      <c r="D26">
        <v>834.3</v>
      </c>
      <c r="E26">
        <f t="shared" si="0"/>
        <v>4.7063253012048198</v>
      </c>
      <c r="F26">
        <v>107.70133800000001</v>
      </c>
      <c r="G26">
        <v>4064</v>
      </c>
      <c r="H26">
        <f t="shared" si="1"/>
        <v>9.7192224622030245</v>
      </c>
      <c r="I26">
        <v>4064</v>
      </c>
    </row>
    <row r="27" spans="1:9" ht="15" customHeight="1" x14ac:dyDescent="0.35">
      <c r="A27">
        <v>1995</v>
      </c>
      <c r="B27">
        <v>3.6326000000000001</v>
      </c>
      <c r="C27">
        <f t="shared" si="0"/>
        <v>4.9156654343807737</v>
      </c>
      <c r="D27">
        <v>859.1</v>
      </c>
      <c r="E27">
        <f t="shared" si="0"/>
        <v>2.9725518398657642</v>
      </c>
      <c r="F27">
        <v>105.65124900000001</v>
      </c>
      <c r="G27">
        <v>4110.2</v>
      </c>
      <c r="H27">
        <f t="shared" si="1"/>
        <v>1.1368110236220428</v>
      </c>
      <c r="I27">
        <v>4110.2</v>
      </c>
    </row>
    <row r="28" spans="1:9" ht="15" customHeight="1" x14ac:dyDescent="0.35">
      <c r="A28">
        <v>1996</v>
      </c>
      <c r="B28">
        <v>3.8048000000000002</v>
      </c>
      <c r="C28">
        <f t="shared" si="0"/>
        <v>4.7404063205417648</v>
      </c>
      <c r="D28">
        <v>895.9</v>
      </c>
      <c r="E28">
        <f t="shared" si="0"/>
        <v>4.2835525549994129</v>
      </c>
      <c r="F28">
        <v>106.05056500000001</v>
      </c>
      <c r="G28">
        <v>4380</v>
      </c>
      <c r="H28">
        <f t="shared" si="1"/>
        <v>6.5641574619239984</v>
      </c>
      <c r="I28">
        <v>4380</v>
      </c>
    </row>
    <row r="29" spans="1:9" ht="15" customHeight="1" x14ac:dyDescent="0.35">
      <c r="A29">
        <v>1997</v>
      </c>
      <c r="B29">
        <v>3.7187999999999999</v>
      </c>
      <c r="C29">
        <f t="shared" si="0"/>
        <v>-2.2603027754415552</v>
      </c>
      <c r="D29">
        <v>932.4</v>
      </c>
      <c r="E29">
        <f t="shared" si="0"/>
        <v>4.0741154146668155</v>
      </c>
      <c r="F29">
        <v>109.323742</v>
      </c>
      <c r="G29">
        <v>3280</v>
      </c>
      <c r="H29">
        <f t="shared" si="1"/>
        <v>-25.11415525114155</v>
      </c>
      <c r="I29">
        <v>3280</v>
      </c>
    </row>
    <row r="30" spans="1:9" ht="15" customHeight="1" x14ac:dyDescent="0.35">
      <c r="A30">
        <v>1998</v>
      </c>
      <c r="B30">
        <v>3.7644000000000002</v>
      </c>
      <c r="C30">
        <f t="shared" si="0"/>
        <v>1.2262020006453778</v>
      </c>
      <c r="D30">
        <v>978.9</v>
      </c>
      <c r="E30">
        <f t="shared" si="0"/>
        <v>4.987129987129987</v>
      </c>
      <c r="F30">
        <v>92.983952000000002</v>
      </c>
      <c r="G30">
        <v>2098</v>
      </c>
      <c r="H30">
        <f t="shared" si="1"/>
        <v>-36.036585365853654</v>
      </c>
    </row>
    <row r="31" spans="1:9" ht="15" customHeight="1" x14ac:dyDescent="0.35">
      <c r="A31">
        <v>1999</v>
      </c>
      <c r="B31">
        <v>4.1112000000000002</v>
      </c>
      <c r="C31">
        <f t="shared" si="0"/>
        <v>9.2126235256614599</v>
      </c>
      <c r="D31">
        <v>1019.7</v>
      </c>
      <c r="E31">
        <f t="shared" si="0"/>
        <v>4.1679436101746932</v>
      </c>
      <c r="F31">
        <v>93.198896000000005</v>
      </c>
      <c r="G31">
        <v>3958</v>
      </c>
      <c r="H31">
        <f t="shared" si="1"/>
        <v>88.655862726406099</v>
      </c>
      <c r="I31">
        <v>3958</v>
      </c>
    </row>
    <row r="32" spans="1:9" ht="15" customHeight="1" x14ac:dyDescent="0.35">
      <c r="A32">
        <v>2000</v>
      </c>
      <c r="B32">
        <v>4.0380000000000003</v>
      </c>
      <c r="C32">
        <f t="shared" si="0"/>
        <v>-1.7805020431990641</v>
      </c>
      <c r="D32">
        <v>1051.2</v>
      </c>
      <c r="E32">
        <f t="shared" si="0"/>
        <v>3.0891438658428947</v>
      </c>
      <c r="F32">
        <v>90.232321999999996</v>
      </c>
      <c r="G32">
        <v>3786</v>
      </c>
      <c r="H32">
        <f t="shared" si="1"/>
        <v>-4.3456291056088929</v>
      </c>
      <c r="I32">
        <v>3786</v>
      </c>
    </row>
    <row r="33" spans="1:9" ht="15" customHeight="1" x14ac:dyDescent="0.35">
      <c r="A33">
        <v>2001</v>
      </c>
      <c r="B33">
        <v>4.1174999999999997</v>
      </c>
      <c r="C33">
        <f t="shared" si="0"/>
        <v>1.9687964338781438</v>
      </c>
      <c r="D33">
        <v>1078.7</v>
      </c>
      <c r="E33">
        <f t="shared" si="0"/>
        <v>2.6160578386605784</v>
      </c>
      <c r="F33">
        <v>91.391751999999997</v>
      </c>
      <c r="G33">
        <v>2805</v>
      </c>
      <c r="H33">
        <f t="shared" si="1"/>
        <v>-25.91125198098257</v>
      </c>
      <c r="I33">
        <v>2805</v>
      </c>
    </row>
    <row r="34" spans="1:9" ht="15" customHeight="1" x14ac:dyDescent="0.35">
      <c r="A34">
        <v>2002</v>
      </c>
      <c r="B34">
        <v>4.2473999999999998</v>
      </c>
      <c r="C34">
        <f t="shared" si="0"/>
        <v>3.1548269581056498</v>
      </c>
      <c r="D34">
        <v>1121.3</v>
      </c>
      <c r="E34">
        <f t="shared" si="0"/>
        <v>3.9491981088346999</v>
      </c>
      <c r="F34">
        <v>91.669841000000005</v>
      </c>
      <c r="G34">
        <v>3422</v>
      </c>
      <c r="H34">
        <f t="shared" si="1"/>
        <v>21.996434937611408</v>
      </c>
      <c r="I34">
        <v>3422</v>
      </c>
    </row>
    <row r="35" spans="1:9" ht="15" customHeight="1" x14ac:dyDescent="0.35">
      <c r="A35">
        <v>2003</v>
      </c>
      <c r="B35">
        <v>4.2896999999999998</v>
      </c>
      <c r="C35">
        <f t="shared" si="0"/>
        <v>0.99590337618307678</v>
      </c>
      <c r="D35">
        <v>1155.4000000000001</v>
      </c>
      <c r="E35">
        <f t="shared" si="0"/>
        <v>3.0411129938464407</v>
      </c>
      <c r="F35">
        <v>97.889978999999997</v>
      </c>
      <c r="G35">
        <v>2610</v>
      </c>
      <c r="H35">
        <f t="shared" si="1"/>
        <v>-23.728813559322035</v>
      </c>
      <c r="I35">
        <v>2610</v>
      </c>
    </row>
    <row r="36" spans="1:9" ht="15" customHeight="1" x14ac:dyDescent="0.35">
      <c r="A36">
        <v>2004</v>
      </c>
      <c r="B36">
        <v>4.5237999999999996</v>
      </c>
      <c r="C36">
        <f t="shared" si="0"/>
        <v>5.4572580833158444</v>
      </c>
      <c r="D36">
        <v>1202.7</v>
      </c>
      <c r="E36">
        <f t="shared" si="0"/>
        <v>4.0938203219664144</v>
      </c>
      <c r="F36">
        <v>99.843783000000002</v>
      </c>
      <c r="G36">
        <v>3001</v>
      </c>
      <c r="H36">
        <f t="shared" si="1"/>
        <v>14.980842911877396</v>
      </c>
      <c r="I36">
        <v>3001</v>
      </c>
    </row>
    <row r="37" spans="1:9" ht="15" customHeight="1" x14ac:dyDescent="0.35">
      <c r="A37">
        <v>2005</v>
      </c>
      <c r="B37">
        <v>4.6368</v>
      </c>
      <c r="C37">
        <f t="shared" si="0"/>
        <v>2.4978999955789476</v>
      </c>
      <c r="D37">
        <v>1240.4000000000001</v>
      </c>
      <c r="E37">
        <f t="shared" si="0"/>
        <v>3.1346137856489604</v>
      </c>
      <c r="F37">
        <v>100</v>
      </c>
      <c r="G37">
        <v>2789</v>
      </c>
      <c r="H37">
        <f t="shared" si="1"/>
        <v>-7.0643118960346554</v>
      </c>
    </row>
    <row r="38" spans="1:9" ht="15" customHeight="1" x14ac:dyDescent="0.35">
      <c r="A38">
        <v>2006</v>
      </c>
      <c r="B38">
        <v>4.7229000000000001</v>
      </c>
      <c r="C38">
        <f t="shared" si="0"/>
        <v>1.8568840579710157</v>
      </c>
      <c r="D38">
        <v>1273.5</v>
      </c>
      <c r="E38">
        <f t="shared" si="0"/>
        <v>2.6684940341825141</v>
      </c>
      <c r="F38">
        <v>97.790079000000006</v>
      </c>
      <c r="G38">
        <v>3226</v>
      </c>
      <c r="H38">
        <f t="shared" si="1"/>
        <v>15.668698458228755</v>
      </c>
      <c r="I38">
        <v>3226</v>
      </c>
    </row>
    <row r="39" spans="1:9" ht="15" customHeight="1" x14ac:dyDescent="0.35">
      <c r="A39">
        <v>2007</v>
      </c>
      <c r="B39">
        <v>4.6822999999999997</v>
      </c>
      <c r="C39">
        <f t="shared" si="0"/>
        <v>-0.85964132206907651</v>
      </c>
      <c r="D39">
        <v>1331.4</v>
      </c>
      <c r="E39">
        <f t="shared" si="0"/>
        <v>4.5465253239104904</v>
      </c>
      <c r="F39">
        <v>99.500412999999995</v>
      </c>
      <c r="G39">
        <v>2478</v>
      </c>
      <c r="H39">
        <f t="shared" si="1"/>
        <v>-23.186608803471792</v>
      </c>
      <c r="I39">
        <v>2478</v>
      </c>
    </row>
    <row r="40" spans="1:9" ht="15" customHeight="1" x14ac:dyDescent="0.35">
      <c r="A40">
        <v>2008</v>
      </c>
      <c r="B40">
        <v>4.7305999999999999</v>
      </c>
      <c r="C40">
        <f t="shared" si="0"/>
        <v>1.0315443265062092</v>
      </c>
      <c r="D40">
        <v>1367.2</v>
      </c>
      <c r="E40">
        <f t="shared" si="0"/>
        <v>2.6888989034099411</v>
      </c>
      <c r="F40">
        <v>102.174897</v>
      </c>
      <c r="G40">
        <v>2321</v>
      </c>
      <c r="H40">
        <f t="shared" si="1"/>
        <v>-6.3357546408393866</v>
      </c>
      <c r="I40">
        <v>2321</v>
      </c>
    </row>
    <row r="41" spans="1:9" ht="15" customHeight="1" x14ac:dyDescent="0.35">
      <c r="A41">
        <v>2009</v>
      </c>
      <c r="B41">
        <v>4.665</v>
      </c>
      <c r="C41">
        <f t="shared" si="0"/>
        <v>-1.3867162727772351</v>
      </c>
      <c r="D41">
        <v>1388.3</v>
      </c>
      <c r="E41">
        <f t="shared" si="0"/>
        <v>1.5433001755412454</v>
      </c>
      <c r="F41">
        <v>90.552314999999894</v>
      </c>
      <c r="G41">
        <v>2247</v>
      </c>
      <c r="H41">
        <f t="shared" si="1"/>
        <v>-3.1882809133993968</v>
      </c>
      <c r="I41">
        <v>2247</v>
      </c>
    </row>
    <row r="42" spans="1:9" ht="15" customHeight="1" x14ac:dyDescent="0.35">
      <c r="A42">
        <v>2010</v>
      </c>
      <c r="B42">
        <v>4.8029000000000002</v>
      </c>
      <c r="C42">
        <f t="shared" si="0"/>
        <v>2.9560557341907856</v>
      </c>
      <c r="D42">
        <v>1419.5</v>
      </c>
      <c r="E42">
        <f t="shared" si="0"/>
        <v>2.2473528776201142</v>
      </c>
      <c r="F42">
        <v>88.007182</v>
      </c>
      <c r="G42">
        <v>1778</v>
      </c>
      <c r="H42">
        <f t="shared" si="1"/>
        <v>-20.872274143302182</v>
      </c>
      <c r="I42">
        <v>1778</v>
      </c>
    </row>
    <row r="43" spans="1:9" ht="15" customHeight="1" x14ac:dyDescent="0.35">
      <c r="A43">
        <v>2011</v>
      </c>
      <c r="B43">
        <v>4.9328000000000003</v>
      </c>
      <c r="C43">
        <f t="shared" si="0"/>
        <v>2.7046159611901168</v>
      </c>
      <c r="D43">
        <v>1456.3</v>
      </c>
      <c r="E43">
        <f t="shared" si="0"/>
        <v>2.5924621345544177</v>
      </c>
      <c r="F43">
        <v>92.155704999999998</v>
      </c>
      <c r="G43">
        <v>2096</v>
      </c>
      <c r="H43">
        <f t="shared" si="1"/>
        <v>17.885264341957257</v>
      </c>
      <c r="I43">
        <v>2096</v>
      </c>
    </row>
    <row r="44" spans="1:9" ht="15" customHeight="1" x14ac:dyDescent="0.35">
      <c r="A44">
        <v>2012</v>
      </c>
      <c r="B44">
        <v>5.0231000000000003</v>
      </c>
      <c r="C44">
        <f t="shared" si="0"/>
        <v>1.8306033084657809</v>
      </c>
      <c r="D44">
        <v>1508.8</v>
      </c>
      <c r="E44">
        <f t="shared" si="0"/>
        <v>3.6050264368605376</v>
      </c>
      <c r="F44">
        <v>94.978415999999996</v>
      </c>
      <c r="G44">
        <v>1640</v>
      </c>
      <c r="H44">
        <f t="shared" si="1"/>
        <v>-21.755725190839694</v>
      </c>
      <c r="I44">
        <v>1640</v>
      </c>
    </row>
    <row r="45" spans="1:9" ht="15" customHeight="1" x14ac:dyDescent="0.35">
      <c r="A45">
        <v>2013</v>
      </c>
      <c r="B45">
        <v>5.2563000000000004</v>
      </c>
      <c r="C45">
        <f t="shared" si="0"/>
        <v>4.6425514124743694</v>
      </c>
      <c r="D45">
        <v>1543.9</v>
      </c>
      <c r="E45">
        <f t="shared" si="0"/>
        <v>2.3263520678685139</v>
      </c>
      <c r="F45">
        <v>95.888873000000004</v>
      </c>
      <c r="G45">
        <v>1760</v>
      </c>
      <c r="H45">
        <f t="shared" si="1"/>
        <v>7.3170731707317067</v>
      </c>
      <c r="I45">
        <v>1760</v>
      </c>
    </row>
    <row r="46" spans="1:9" ht="15" customHeight="1" x14ac:dyDescent="0.35">
      <c r="A46">
        <v>2014</v>
      </c>
    </row>
    <row r="47" spans="1:9" ht="15" customHeight="1" x14ac:dyDescent="0.35">
      <c r="A47">
        <v>2015</v>
      </c>
      <c r="B47" s="2"/>
      <c r="C47" s="2"/>
      <c r="E47" s="2"/>
      <c r="H47" s="2"/>
    </row>
    <row r="48" spans="1:9" ht="15" customHeight="1" x14ac:dyDescent="0.35">
      <c r="A48">
        <v>2016</v>
      </c>
    </row>
    <row r="49" spans="1:1" ht="15" customHeight="1" x14ac:dyDescent="0.35">
      <c r="A49">
        <v>2017</v>
      </c>
    </row>
    <row r="50" spans="1:1" ht="15" customHeight="1" x14ac:dyDescent="0.35">
      <c r="A50">
        <v>2018</v>
      </c>
    </row>
    <row r="51" spans="1:1" ht="15" customHeight="1" x14ac:dyDescent="0.35">
      <c r="A51">
        <v>2019</v>
      </c>
    </row>
    <row r="52" spans="1:1" ht="15" customHeight="1" x14ac:dyDescent="0.35">
      <c r="A52">
        <v>2020</v>
      </c>
    </row>
    <row r="53" spans="1:1" s="1" customFormat="1" ht="15" customHeight="1" x14ac:dyDescent="0.35"/>
  </sheetData>
  <pageMargins left="0.7" right="0.7" top="0.75" bottom="0.75" header="0.3" footer="0.3"/>
  <pageSetup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Z10"/>
  <sheetViews>
    <sheetView workbookViewId="0">
      <selection activeCell="A40" sqref="A40"/>
    </sheetView>
  </sheetViews>
  <sheetFormatPr defaultRowHeight="14.5" x14ac:dyDescent="0.35"/>
  <cols>
    <col min="1" max="1" width="27.1796875" bestFit="1" customWidth="1"/>
    <col min="2" max="8" width="12" bestFit="1" customWidth="1"/>
    <col min="9" max="9" width="12.7265625" bestFit="1" customWidth="1"/>
    <col min="10" max="11" width="12" bestFit="1" customWidth="1"/>
    <col min="12" max="12" width="12.7265625" bestFit="1" customWidth="1"/>
    <col min="13" max="13" width="12" bestFit="1" customWidth="1"/>
    <col min="14" max="15" width="12.7265625" bestFit="1" customWidth="1"/>
    <col min="16" max="16" width="12" bestFit="1" customWidth="1"/>
    <col min="17" max="17" width="12.7265625" bestFit="1" customWidth="1"/>
    <col min="18" max="18" width="12" bestFit="1" customWidth="1"/>
    <col min="19" max="19" width="12.7265625" bestFit="1" customWidth="1"/>
    <col min="20" max="22" width="12" bestFit="1" customWidth="1"/>
    <col min="23" max="23" width="12.7265625" bestFit="1" customWidth="1"/>
    <col min="24" max="28" width="12" bestFit="1" customWidth="1"/>
    <col min="29" max="29" width="12.7265625" bestFit="1" customWidth="1"/>
    <col min="30" max="31" width="12" bestFit="1" customWidth="1"/>
    <col min="32" max="32" width="12.7265625" bestFit="1" customWidth="1"/>
    <col min="33" max="38" width="12" bestFit="1" customWidth="1"/>
    <col min="39" max="39" width="12.7265625" bestFit="1" customWidth="1"/>
    <col min="40" max="40" width="12" bestFit="1" customWidth="1"/>
    <col min="41" max="41" width="12.7265625" bestFit="1" customWidth="1"/>
    <col min="42" max="45" width="12" bestFit="1" customWidth="1"/>
    <col min="46" max="52" width="5" bestFit="1" customWidth="1"/>
  </cols>
  <sheetData>
    <row r="1" spans="1:52" x14ac:dyDescent="0.35">
      <c r="A1" s="1" t="s">
        <v>2</v>
      </c>
      <c r="B1">
        <v>1970</v>
      </c>
      <c r="C1">
        <v>1971</v>
      </c>
      <c r="D1">
        <v>1972</v>
      </c>
      <c r="E1">
        <v>1973</v>
      </c>
      <c r="F1">
        <v>1974</v>
      </c>
      <c r="G1">
        <v>1975</v>
      </c>
      <c r="H1">
        <v>1976</v>
      </c>
      <c r="I1">
        <v>1977</v>
      </c>
      <c r="J1">
        <v>1978</v>
      </c>
      <c r="K1">
        <v>1979</v>
      </c>
      <c r="L1">
        <v>1980</v>
      </c>
      <c r="M1">
        <v>1981</v>
      </c>
      <c r="N1">
        <v>1982</v>
      </c>
      <c r="O1">
        <v>1983</v>
      </c>
      <c r="P1">
        <v>1984</v>
      </c>
      <c r="Q1">
        <v>1985</v>
      </c>
      <c r="R1">
        <v>1986</v>
      </c>
      <c r="S1">
        <v>1987</v>
      </c>
      <c r="T1">
        <v>1988</v>
      </c>
      <c r="U1">
        <v>1989</v>
      </c>
      <c r="V1">
        <v>1990</v>
      </c>
      <c r="W1">
        <v>1991</v>
      </c>
      <c r="X1">
        <v>1992</v>
      </c>
      <c r="Y1">
        <v>1993</v>
      </c>
      <c r="Z1">
        <v>1994</v>
      </c>
      <c r="AA1">
        <v>1995</v>
      </c>
      <c r="AB1">
        <v>1996</v>
      </c>
      <c r="AC1">
        <v>1997</v>
      </c>
      <c r="AD1">
        <v>1998</v>
      </c>
      <c r="AE1">
        <v>1999</v>
      </c>
      <c r="AF1">
        <v>2000</v>
      </c>
      <c r="AG1">
        <v>2001</v>
      </c>
      <c r="AH1">
        <v>2002</v>
      </c>
      <c r="AI1">
        <v>2003</v>
      </c>
      <c r="AJ1">
        <v>2004</v>
      </c>
      <c r="AK1">
        <v>2005</v>
      </c>
      <c r="AL1">
        <v>2006</v>
      </c>
      <c r="AM1">
        <v>2007</v>
      </c>
      <c r="AN1">
        <v>2008</v>
      </c>
      <c r="AO1">
        <v>2009</v>
      </c>
      <c r="AP1">
        <v>2010</v>
      </c>
      <c r="AQ1">
        <v>2011</v>
      </c>
      <c r="AR1">
        <v>2012</v>
      </c>
      <c r="AS1">
        <v>2013</v>
      </c>
      <c r="AT1">
        <v>2014</v>
      </c>
      <c r="AU1">
        <v>2015</v>
      </c>
      <c r="AV1">
        <v>2016</v>
      </c>
      <c r="AW1">
        <v>2017</v>
      </c>
      <c r="AX1">
        <v>2018</v>
      </c>
      <c r="AY1">
        <v>2019</v>
      </c>
      <c r="AZ1">
        <v>2020</v>
      </c>
    </row>
    <row r="2" spans="1:52" x14ac:dyDescent="0.35">
      <c r="A2" s="1" t="s">
        <v>3</v>
      </c>
      <c r="B2">
        <v>1.6315999999999999</v>
      </c>
      <c r="C2">
        <v>1.7436</v>
      </c>
      <c r="D2">
        <v>1.8744000000000001</v>
      </c>
      <c r="E2">
        <v>2.0920999999999998</v>
      </c>
      <c r="F2">
        <v>2.1453000000000002</v>
      </c>
      <c r="G2">
        <v>2.1442000000000001</v>
      </c>
      <c r="H2">
        <v>2.1821000000000002</v>
      </c>
      <c r="I2">
        <v>2.1063000000000001</v>
      </c>
      <c r="J2">
        <v>2.1472000000000002</v>
      </c>
      <c r="K2">
        <v>2.4110999999999998</v>
      </c>
      <c r="L2">
        <v>2.3702000000000001</v>
      </c>
      <c r="M2">
        <v>2.5125000000000002</v>
      </c>
      <c r="N2">
        <v>2.4851000000000001</v>
      </c>
      <c r="O2">
        <v>2.3803999999999998</v>
      </c>
      <c r="P2">
        <v>2.621</v>
      </c>
      <c r="Q2">
        <v>2.5221</v>
      </c>
      <c r="R2">
        <v>2.6884999999999999</v>
      </c>
      <c r="S2">
        <v>2.4950999999999999</v>
      </c>
      <c r="T2">
        <v>2.5813999999999999</v>
      </c>
      <c r="U2">
        <v>2.9399000000000002</v>
      </c>
      <c r="V2">
        <v>3.1105</v>
      </c>
      <c r="W2">
        <v>3.0263</v>
      </c>
      <c r="X2">
        <v>3.2111000000000001</v>
      </c>
      <c r="Y2">
        <v>3.2947000000000002</v>
      </c>
      <c r="Z2">
        <v>3.4624000000000001</v>
      </c>
      <c r="AA2">
        <v>3.6326000000000001</v>
      </c>
      <c r="AB2">
        <v>3.8048000000000002</v>
      </c>
      <c r="AC2">
        <v>3.7187999999999999</v>
      </c>
      <c r="AD2">
        <v>3.7644000000000002</v>
      </c>
      <c r="AE2">
        <v>4.1112000000000002</v>
      </c>
      <c r="AF2">
        <v>4.0380000000000003</v>
      </c>
      <c r="AG2">
        <v>4.1174999999999997</v>
      </c>
      <c r="AH2">
        <v>4.2473999999999998</v>
      </c>
      <c r="AI2">
        <v>4.2896999999999998</v>
      </c>
      <c r="AJ2">
        <v>4.5237999999999996</v>
      </c>
      <c r="AK2">
        <v>4.6368</v>
      </c>
      <c r="AL2">
        <v>4.7229000000000001</v>
      </c>
      <c r="AM2">
        <v>4.6822999999999997</v>
      </c>
      <c r="AN2">
        <v>4.7305999999999999</v>
      </c>
      <c r="AO2">
        <v>4.665</v>
      </c>
      <c r="AP2">
        <v>4.8029000000000002</v>
      </c>
      <c r="AQ2">
        <v>4.9328000000000003</v>
      </c>
      <c r="AR2">
        <v>5.0231000000000003</v>
      </c>
      <c r="AS2">
        <v>5.2563000000000004</v>
      </c>
    </row>
    <row r="3" spans="1:52" x14ac:dyDescent="0.35">
      <c r="A3" s="1" t="s">
        <v>8</v>
      </c>
      <c r="C3">
        <f t="shared" ref="C3:AS3" si="0">((C2-B2)/B2)*100</f>
        <v>6.8644275557734806</v>
      </c>
      <c r="D3">
        <f t="shared" si="0"/>
        <v>7.5017205781142478</v>
      </c>
      <c r="E3">
        <f t="shared" si="0"/>
        <v>11.614383269312835</v>
      </c>
      <c r="F3">
        <f t="shared" si="0"/>
        <v>2.5428994789924171</v>
      </c>
      <c r="G3">
        <f t="shared" si="0"/>
        <v>-5.1274879970172035E-2</v>
      </c>
      <c r="H3">
        <f t="shared" si="0"/>
        <v>1.7675589963622815</v>
      </c>
      <c r="I3">
        <f t="shared" si="0"/>
        <v>-3.4737179780945002</v>
      </c>
      <c r="J3">
        <f t="shared" si="0"/>
        <v>1.9417936666191977</v>
      </c>
      <c r="K3">
        <f t="shared" si="0"/>
        <v>12.29042473919521</v>
      </c>
      <c r="L3">
        <f t="shared" si="0"/>
        <v>-1.6963211812035881</v>
      </c>
      <c r="M3">
        <f t="shared" si="0"/>
        <v>6.0037127668551218</v>
      </c>
      <c r="N3">
        <f t="shared" si="0"/>
        <v>-1.0905472636815956</v>
      </c>
      <c r="O3">
        <f t="shared" si="0"/>
        <v>-4.2131101364130314</v>
      </c>
      <c r="P3">
        <f t="shared" si="0"/>
        <v>10.107544950428506</v>
      </c>
      <c r="Q3">
        <f t="shared" si="0"/>
        <v>-3.7733689431514685</v>
      </c>
      <c r="R3">
        <f t="shared" si="0"/>
        <v>6.597676539391772</v>
      </c>
      <c r="S3">
        <f t="shared" si="0"/>
        <v>-7.1936023805095779</v>
      </c>
      <c r="T3">
        <f t="shared" si="0"/>
        <v>3.458779207246204</v>
      </c>
      <c r="U3">
        <f t="shared" si="0"/>
        <v>13.887812814751696</v>
      </c>
      <c r="V3">
        <f t="shared" si="0"/>
        <v>5.8029184666145053</v>
      </c>
      <c r="W3">
        <f t="shared" si="0"/>
        <v>-2.7069602957723857</v>
      </c>
      <c r="X3">
        <f t="shared" si="0"/>
        <v>6.1064666424346585</v>
      </c>
      <c r="Y3">
        <f t="shared" si="0"/>
        <v>2.6034692161564612</v>
      </c>
      <c r="Z3">
        <f t="shared" si="0"/>
        <v>5.0899930190912661</v>
      </c>
      <c r="AA3">
        <f t="shared" si="0"/>
        <v>4.9156654343807737</v>
      </c>
      <c r="AB3">
        <f t="shared" si="0"/>
        <v>4.7404063205417648</v>
      </c>
      <c r="AC3">
        <f t="shared" si="0"/>
        <v>-2.2603027754415552</v>
      </c>
      <c r="AD3">
        <f t="shared" si="0"/>
        <v>1.2262020006453778</v>
      </c>
      <c r="AE3">
        <f t="shared" si="0"/>
        <v>9.2126235256614599</v>
      </c>
      <c r="AF3">
        <f t="shared" si="0"/>
        <v>-1.7805020431990641</v>
      </c>
      <c r="AG3">
        <f t="shared" si="0"/>
        <v>1.9687964338781438</v>
      </c>
      <c r="AH3">
        <f t="shared" si="0"/>
        <v>3.1548269581056498</v>
      </c>
      <c r="AI3">
        <f t="shared" si="0"/>
        <v>0.99590337618307678</v>
      </c>
      <c r="AJ3">
        <f t="shared" si="0"/>
        <v>5.4572580833158444</v>
      </c>
      <c r="AK3">
        <f t="shared" si="0"/>
        <v>2.4978999955789476</v>
      </c>
      <c r="AL3">
        <f t="shared" si="0"/>
        <v>1.8568840579710157</v>
      </c>
      <c r="AM3">
        <f t="shared" si="0"/>
        <v>-0.85964132206907651</v>
      </c>
      <c r="AN3">
        <f t="shared" si="0"/>
        <v>1.0315443265062092</v>
      </c>
      <c r="AO3">
        <f t="shared" si="0"/>
        <v>-1.3867162727772351</v>
      </c>
      <c r="AP3">
        <f t="shared" si="0"/>
        <v>2.9560557341907856</v>
      </c>
      <c r="AQ3">
        <f t="shared" si="0"/>
        <v>2.7046159611901168</v>
      </c>
      <c r="AR3">
        <f t="shared" si="0"/>
        <v>1.8306033084657809</v>
      </c>
      <c r="AS3">
        <f t="shared" si="0"/>
        <v>4.6425514124743694</v>
      </c>
    </row>
    <row r="4" spans="1:52" x14ac:dyDescent="0.35">
      <c r="A4" s="1" t="s">
        <v>0</v>
      </c>
      <c r="B4">
        <v>406.2</v>
      </c>
      <c r="C4">
        <v>421.7</v>
      </c>
      <c r="D4">
        <v>429.7</v>
      </c>
      <c r="E4">
        <v>451.4</v>
      </c>
      <c r="F4">
        <v>458</v>
      </c>
      <c r="G4">
        <v>466.6</v>
      </c>
      <c r="H4">
        <v>487.2</v>
      </c>
      <c r="I4">
        <v>493.6</v>
      </c>
      <c r="J4">
        <v>504.7</v>
      </c>
      <c r="K4">
        <v>525.79999999999995</v>
      </c>
      <c r="L4">
        <v>541</v>
      </c>
      <c r="M4">
        <v>563.29999999999995</v>
      </c>
      <c r="N4">
        <v>563.70000000000005</v>
      </c>
      <c r="O4">
        <v>561</v>
      </c>
      <c r="P4">
        <v>596.6</v>
      </c>
      <c r="Q4">
        <v>629.1</v>
      </c>
      <c r="R4">
        <v>644.5</v>
      </c>
      <c r="S4">
        <v>676.1</v>
      </c>
      <c r="T4">
        <v>704.8</v>
      </c>
      <c r="U4">
        <v>738.1</v>
      </c>
      <c r="V4">
        <v>754.8</v>
      </c>
      <c r="W4">
        <v>745.7</v>
      </c>
      <c r="X4">
        <v>765.9</v>
      </c>
      <c r="Y4">
        <v>796.8</v>
      </c>
      <c r="Z4">
        <v>834.3</v>
      </c>
      <c r="AA4">
        <v>859.1</v>
      </c>
      <c r="AB4">
        <v>895.9</v>
      </c>
      <c r="AC4">
        <v>932.4</v>
      </c>
      <c r="AD4">
        <v>978.9</v>
      </c>
      <c r="AE4">
        <v>1019.7</v>
      </c>
      <c r="AF4">
        <v>1051.2</v>
      </c>
      <c r="AG4">
        <v>1078.7</v>
      </c>
      <c r="AH4">
        <v>1121.3</v>
      </c>
      <c r="AI4">
        <v>1155.4000000000001</v>
      </c>
      <c r="AJ4">
        <v>1202.7</v>
      </c>
      <c r="AK4">
        <v>1240.4000000000001</v>
      </c>
      <c r="AL4">
        <v>1273.5</v>
      </c>
      <c r="AM4">
        <v>1331.4</v>
      </c>
      <c r="AN4">
        <v>1367.2</v>
      </c>
      <c r="AO4">
        <v>1388.3</v>
      </c>
      <c r="AP4">
        <v>1419.5</v>
      </c>
      <c r="AQ4">
        <v>1456.3</v>
      </c>
      <c r="AR4">
        <v>1508.8</v>
      </c>
      <c r="AS4">
        <v>1543.9</v>
      </c>
    </row>
    <row r="5" spans="1:52" x14ac:dyDescent="0.35">
      <c r="A5" s="1" t="s">
        <v>8</v>
      </c>
      <c r="C5">
        <f t="shared" ref="C5:AS5" si="1">((C4-B4)/B4)*100</f>
        <v>3.8158542589857216</v>
      </c>
      <c r="D5">
        <f t="shared" si="1"/>
        <v>1.8970832345269151</v>
      </c>
      <c r="E5">
        <f t="shared" si="1"/>
        <v>5.050034908075399</v>
      </c>
      <c r="F5">
        <f t="shared" si="1"/>
        <v>1.4621178555604837</v>
      </c>
      <c r="G5">
        <f t="shared" si="1"/>
        <v>1.8777292576419264</v>
      </c>
      <c r="H5">
        <f t="shared" si="1"/>
        <v>4.4149164166309394</v>
      </c>
      <c r="I5">
        <f t="shared" si="1"/>
        <v>1.3136288998358034</v>
      </c>
      <c r="J5">
        <f t="shared" si="1"/>
        <v>2.2487844408427806</v>
      </c>
      <c r="K5">
        <f t="shared" si="1"/>
        <v>4.1807014067762962</v>
      </c>
      <c r="L5">
        <f t="shared" si="1"/>
        <v>2.8908330163560376</v>
      </c>
      <c r="M5">
        <f t="shared" si="1"/>
        <v>4.1219963031423212</v>
      </c>
      <c r="N5">
        <f t="shared" si="1"/>
        <v>7.1010118941965378E-2</v>
      </c>
      <c r="O5">
        <f t="shared" si="1"/>
        <v>-0.47897817988292446</v>
      </c>
      <c r="P5">
        <f t="shared" si="1"/>
        <v>6.345811051693409</v>
      </c>
      <c r="Q5">
        <f t="shared" si="1"/>
        <v>5.4475360375460937</v>
      </c>
      <c r="R5">
        <f t="shared" si="1"/>
        <v>2.4479415037354917</v>
      </c>
      <c r="S5">
        <f t="shared" si="1"/>
        <v>4.9030256012412758</v>
      </c>
      <c r="T5">
        <f t="shared" si="1"/>
        <v>4.2449341813341119</v>
      </c>
      <c r="U5">
        <f t="shared" si="1"/>
        <v>4.7247446083995559</v>
      </c>
      <c r="V5">
        <f t="shared" si="1"/>
        <v>2.2625660479609717</v>
      </c>
      <c r="W5">
        <f t="shared" si="1"/>
        <v>-1.2056173820879583</v>
      </c>
      <c r="X5">
        <f t="shared" si="1"/>
        <v>2.7088641544857088</v>
      </c>
      <c r="Y5">
        <f t="shared" si="1"/>
        <v>4.0344692518605534</v>
      </c>
      <c r="Z5">
        <f t="shared" si="1"/>
        <v>4.7063253012048198</v>
      </c>
      <c r="AA5">
        <f t="shared" si="1"/>
        <v>2.9725518398657642</v>
      </c>
      <c r="AB5">
        <f t="shared" si="1"/>
        <v>4.2835525549994129</v>
      </c>
      <c r="AC5">
        <f t="shared" si="1"/>
        <v>4.0741154146668155</v>
      </c>
      <c r="AD5">
        <f t="shared" si="1"/>
        <v>4.987129987129987</v>
      </c>
      <c r="AE5">
        <f t="shared" si="1"/>
        <v>4.1679436101746932</v>
      </c>
      <c r="AF5">
        <f t="shared" si="1"/>
        <v>3.0891438658428947</v>
      </c>
      <c r="AG5">
        <f t="shared" si="1"/>
        <v>2.6160578386605784</v>
      </c>
      <c r="AH5">
        <f t="shared" si="1"/>
        <v>3.9491981088346999</v>
      </c>
      <c r="AI5">
        <f t="shared" si="1"/>
        <v>3.0411129938464407</v>
      </c>
      <c r="AJ5">
        <f t="shared" si="1"/>
        <v>4.0938203219664144</v>
      </c>
      <c r="AK5">
        <f t="shared" si="1"/>
        <v>3.1346137856489604</v>
      </c>
      <c r="AL5">
        <f t="shared" si="1"/>
        <v>2.6684940341825141</v>
      </c>
      <c r="AM5">
        <f t="shared" si="1"/>
        <v>4.5465253239104904</v>
      </c>
      <c r="AN5">
        <f t="shared" si="1"/>
        <v>2.6888989034099411</v>
      </c>
      <c r="AO5">
        <f t="shared" si="1"/>
        <v>1.5433001755412454</v>
      </c>
      <c r="AP5">
        <f t="shared" si="1"/>
        <v>2.2473528776201142</v>
      </c>
      <c r="AQ5">
        <f t="shared" si="1"/>
        <v>2.5924621345544177</v>
      </c>
      <c r="AR5">
        <f t="shared" si="1"/>
        <v>3.6050264368605376</v>
      </c>
      <c r="AS5">
        <f t="shared" si="1"/>
        <v>2.3263520678685139</v>
      </c>
    </row>
    <row r="6" spans="1:52" x14ac:dyDescent="0.35">
      <c r="A6" s="1" t="s">
        <v>4</v>
      </c>
      <c r="L6">
        <v>145.523507</v>
      </c>
      <c r="M6">
        <v>149.59812400000001</v>
      </c>
      <c r="N6">
        <v>150.22906</v>
      </c>
      <c r="O6">
        <v>149.50779399999999</v>
      </c>
      <c r="P6">
        <v>151.54519300000001</v>
      </c>
      <c r="Q6">
        <v>153.658357</v>
      </c>
      <c r="R6">
        <v>138.165279</v>
      </c>
      <c r="S6">
        <v>117.477293</v>
      </c>
      <c r="T6">
        <v>99.757068000000004</v>
      </c>
      <c r="U6">
        <v>99.705547999999894</v>
      </c>
      <c r="V6">
        <v>100.46610200000001</v>
      </c>
      <c r="W6">
        <v>103.380059</v>
      </c>
      <c r="X6">
        <v>103.72026099999999</v>
      </c>
      <c r="Y6">
        <v>107.430565</v>
      </c>
      <c r="Z6">
        <v>107.70133800000001</v>
      </c>
      <c r="AA6">
        <v>105.65124900000001</v>
      </c>
      <c r="AB6">
        <v>106.05056500000001</v>
      </c>
      <c r="AC6">
        <v>109.323742</v>
      </c>
      <c r="AD6">
        <v>92.983952000000002</v>
      </c>
      <c r="AE6">
        <v>93.198896000000005</v>
      </c>
      <c r="AF6">
        <v>90.232321999999996</v>
      </c>
      <c r="AG6">
        <v>91.391751999999997</v>
      </c>
      <c r="AH6">
        <v>91.669841000000005</v>
      </c>
      <c r="AI6">
        <v>97.889978999999997</v>
      </c>
      <c r="AJ6">
        <v>99.843783000000002</v>
      </c>
      <c r="AK6">
        <v>100</v>
      </c>
      <c r="AL6">
        <v>97.790079000000006</v>
      </c>
      <c r="AM6">
        <v>99.500412999999995</v>
      </c>
      <c r="AN6">
        <v>102.174897</v>
      </c>
      <c r="AO6">
        <v>90.552314999999894</v>
      </c>
      <c r="AP6">
        <v>88.007182</v>
      </c>
      <c r="AQ6">
        <v>92.155704999999998</v>
      </c>
      <c r="AR6">
        <v>94.978415999999996</v>
      </c>
      <c r="AS6">
        <v>95.888873000000004</v>
      </c>
    </row>
    <row r="7" spans="1:52" x14ac:dyDescent="0.35">
      <c r="A7" s="1" t="s">
        <v>1</v>
      </c>
      <c r="B7">
        <v>20.554052049999999</v>
      </c>
      <c r="C7">
        <v>24.024635480000001</v>
      </c>
      <c r="D7">
        <v>25.298500820000001</v>
      </c>
      <c r="E7">
        <v>26.726095709999999</v>
      </c>
      <c r="F7">
        <v>86.065771179999999</v>
      </c>
      <c r="G7">
        <v>77.871055269999999</v>
      </c>
      <c r="H7">
        <v>74.273141260000003</v>
      </c>
      <c r="I7">
        <v>75.546051439999999</v>
      </c>
      <c r="J7">
        <v>71.672450449999999</v>
      </c>
      <c r="K7">
        <v>150.39298640000001</v>
      </c>
      <c r="L7">
        <v>158.62430079999999</v>
      </c>
      <c r="M7">
        <v>136.99507270000001</v>
      </c>
      <c r="N7">
        <v>119.5918344</v>
      </c>
      <c r="O7">
        <v>108.3031198</v>
      </c>
      <c r="P7">
        <v>100.5188801</v>
      </c>
      <c r="Q7">
        <v>93.09696443</v>
      </c>
      <c r="R7">
        <v>47.28322223</v>
      </c>
      <c r="S7">
        <v>58.62047639</v>
      </c>
      <c r="T7">
        <v>45.700695160000002</v>
      </c>
      <c r="U7">
        <v>52.873368229999997</v>
      </c>
      <c r="V7">
        <v>64.382400529999998</v>
      </c>
      <c r="W7">
        <v>52.055009490000003</v>
      </c>
      <c r="X7">
        <v>49.653309380000003</v>
      </c>
      <c r="Y7">
        <v>42.523747929999999</v>
      </c>
      <c r="Z7">
        <v>39.37799656</v>
      </c>
      <c r="AA7">
        <v>41.31958427</v>
      </c>
      <c r="AB7">
        <v>47.535084050000002</v>
      </c>
      <c r="AC7">
        <v>43.928104169999997</v>
      </c>
      <c r="AD7">
        <v>29.353776379999999</v>
      </c>
      <c r="AE7">
        <v>39.503724060000003</v>
      </c>
      <c r="AF7">
        <v>60.009860320000001</v>
      </c>
      <c r="AG7">
        <v>50.29690549</v>
      </c>
      <c r="AH7">
        <v>50.766781989999998</v>
      </c>
      <c r="AI7">
        <v>57.466473129999997</v>
      </c>
      <c r="AJ7">
        <v>73.154431680000002</v>
      </c>
      <c r="AK7">
        <v>100</v>
      </c>
      <c r="AL7">
        <v>116.7035873</v>
      </c>
      <c r="AM7">
        <v>125.5467556</v>
      </c>
      <c r="AN7">
        <v>164.9819554</v>
      </c>
      <c r="AO7">
        <v>105.37266150000001</v>
      </c>
      <c r="AP7">
        <v>132.62860280000001</v>
      </c>
      <c r="AQ7">
        <v>169.22961090000001</v>
      </c>
      <c r="AR7">
        <v>167.3824424</v>
      </c>
      <c r="AS7">
        <v>163.49369100000001</v>
      </c>
    </row>
    <row r="8" spans="1:52" x14ac:dyDescent="0.35">
      <c r="A8" s="1" t="s">
        <v>5</v>
      </c>
      <c r="B8">
        <v>12.281843670000001</v>
      </c>
      <c r="C8">
        <v>13.076423910000001</v>
      </c>
      <c r="D8">
        <v>14.26828152</v>
      </c>
      <c r="E8">
        <v>15.86878059</v>
      </c>
      <c r="F8">
        <v>18.173046639999999</v>
      </c>
      <c r="G8">
        <v>20.549261529999999</v>
      </c>
      <c r="H8">
        <v>22.89201001</v>
      </c>
      <c r="I8">
        <v>24.615604950000002</v>
      </c>
      <c r="J8">
        <v>26.095006300000001</v>
      </c>
      <c r="K8">
        <v>27.985360839999998</v>
      </c>
      <c r="L8">
        <v>32.033164339999999</v>
      </c>
      <c r="M8">
        <v>35.620885209999997</v>
      </c>
      <c r="N8">
        <v>38.119466709999998</v>
      </c>
      <c r="O8">
        <v>40.71415339</v>
      </c>
      <c r="P8">
        <v>42.860371929999999</v>
      </c>
      <c r="Q8">
        <v>44.750335110000002</v>
      </c>
      <c r="R8">
        <v>45.551166430000002</v>
      </c>
      <c r="S8">
        <v>48.131081960000003</v>
      </c>
      <c r="T8">
        <v>53.790491410000001</v>
      </c>
      <c r="U8">
        <v>57.119775429999997</v>
      </c>
      <c r="V8">
        <v>61.79866827</v>
      </c>
      <c r="W8">
        <v>65.813942310000002</v>
      </c>
      <c r="X8">
        <v>69.027651649999996</v>
      </c>
      <c r="Y8">
        <v>72.621641249999996</v>
      </c>
      <c r="Z8">
        <v>73.20261438</v>
      </c>
      <c r="AA8">
        <v>74.800290489999995</v>
      </c>
      <c r="AB8">
        <v>77.051561370000002</v>
      </c>
      <c r="AC8">
        <v>79.665940449999894</v>
      </c>
      <c r="AD8">
        <v>84.241103850000002</v>
      </c>
      <c r="AE8">
        <v>85.911401600000005</v>
      </c>
      <c r="AF8">
        <v>86.855482929999994</v>
      </c>
      <c r="AG8">
        <v>90.559186639999893</v>
      </c>
      <c r="AH8">
        <v>91.212781410000005</v>
      </c>
      <c r="AI8">
        <v>95.061728400000007</v>
      </c>
      <c r="AJ8">
        <v>97.748729119999894</v>
      </c>
      <c r="AK8">
        <v>100</v>
      </c>
      <c r="AL8">
        <v>102.52500000000001</v>
      </c>
      <c r="AM8">
        <v>107.45789606</v>
      </c>
      <c r="AN8">
        <v>115.76038586</v>
      </c>
      <c r="AO8">
        <v>119.99189825000001</v>
      </c>
      <c r="AP8">
        <v>124.4182789</v>
      </c>
      <c r="AQ8">
        <v>133.47891819</v>
      </c>
      <c r="AR8">
        <v>138.03849446999999</v>
      </c>
      <c r="AS8">
        <v>142.05282434</v>
      </c>
    </row>
    <row r="9" spans="1:52" x14ac:dyDescent="0.35">
      <c r="A9" s="1" t="s">
        <v>6</v>
      </c>
      <c r="V9">
        <v>4016</v>
      </c>
      <c r="W9">
        <v>3380</v>
      </c>
      <c r="X9">
        <v>3533</v>
      </c>
      <c r="Y9">
        <v>3704</v>
      </c>
      <c r="Z9">
        <v>4064</v>
      </c>
      <c r="AA9">
        <v>4110.2</v>
      </c>
      <c r="AB9">
        <v>4380</v>
      </c>
      <c r="AC9">
        <v>3280</v>
      </c>
      <c r="AD9">
        <v>2098</v>
      </c>
      <c r="AE9">
        <v>3958</v>
      </c>
      <c r="AF9">
        <v>3786</v>
      </c>
      <c r="AG9">
        <v>2805</v>
      </c>
      <c r="AH9">
        <v>3422</v>
      </c>
      <c r="AI9">
        <v>2610</v>
      </c>
      <c r="AJ9">
        <v>3001</v>
      </c>
      <c r="AK9">
        <v>2789</v>
      </c>
      <c r="AL9">
        <v>3226</v>
      </c>
      <c r="AM9">
        <v>2478</v>
      </c>
      <c r="AN9">
        <v>2321</v>
      </c>
      <c r="AO9">
        <v>2247</v>
      </c>
      <c r="AP9">
        <v>1778</v>
      </c>
      <c r="AQ9">
        <v>2096</v>
      </c>
      <c r="AR9">
        <v>1640</v>
      </c>
      <c r="AS9">
        <v>1760</v>
      </c>
    </row>
    <row r="10" spans="1:52" x14ac:dyDescent="0.35">
      <c r="A10" s="1" t="s">
        <v>7</v>
      </c>
      <c r="V10">
        <v>4016</v>
      </c>
      <c r="W10">
        <v>3380</v>
      </c>
      <c r="X10">
        <v>3533</v>
      </c>
      <c r="Y10">
        <v>3704</v>
      </c>
      <c r="Z10">
        <v>4064</v>
      </c>
      <c r="AA10">
        <v>4110.2</v>
      </c>
      <c r="AB10">
        <v>4380</v>
      </c>
      <c r="AC10">
        <v>3280</v>
      </c>
      <c r="AE10">
        <v>3958</v>
      </c>
      <c r="AF10">
        <v>3786</v>
      </c>
      <c r="AG10">
        <v>2805</v>
      </c>
      <c r="AH10">
        <v>3422</v>
      </c>
      <c r="AI10">
        <v>2610</v>
      </c>
      <c r="AJ10">
        <v>3001</v>
      </c>
      <c r="AL10">
        <v>3226</v>
      </c>
      <c r="AM10">
        <v>2478</v>
      </c>
      <c r="AN10">
        <v>2321</v>
      </c>
      <c r="AO10">
        <v>2247</v>
      </c>
      <c r="AP10">
        <v>1778</v>
      </c>
      <c r="AQ10">
        <v>2096</v>
      </c>
      <c r="AR10">
        <v>1640</v>
      </c>
      <c r="AS10">
        <v>1760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03237-5F7F-4B9A-8F8A-5EFCB582A068}">
  <dimension ref="A1:I60"/>
  <sheetViews>
    <sheetView tabSelected="1" zoomScaleNormal="100" workbookViewId="0">
      <selection activeCell="F10" sqref="F10"/>
    </sheetView>
  </sheetViews>
  <sheetFormatPr defaultRowHeight="15" customHeight="1" x14ac:dyDescent="0.35"/>
  <cols>
    <col min="1" max="1" width="5.54296875" bestFit="1" customWidth="1"/>
    <col min="2" max="2" width="12" bestFit="1" customWidth="1"/>
    <col min="3" max="3" width="20" customWidth="1"/>
    <col min="4" max="4" width="17.453125" customWidth="1"/>
    <col min="5" max="5" width="25.7265625" customWidth="1"/>
    <col min="6" max="6" width="26.81640625" bestFit="1" customWidth="1"/>
    <col min="7" max="7" width="25.54296875" bestFit="1" customWidth="1"/>
    <col min="8" max="8" width="25.7265625" customWidth="1"/>
    <col min="9" max="9" width="27.1796875" bestFit="1" customWidth="1"/>
  </cols>
  <sheetData>
    <row r="1" spans="1:9" s="1" customFormat="1" ht="15" customHeight="1" x14ac:dyDescent="0.35">
      <c r="A1" s="1" t="s">
        <v>2</v>
      </c>
      <c r="B1" s="1" t="s">
        <v>3</v>
      </c>
      <c r="C1" s="1" t="s">
        <v>8</v>
      </c>
      <c r="D1" s="1" t="s">
        <v>0</v>
      </c>
      <c r="E1" s="1" t="s">
        <v>10</v>
      </c>
      <c r="F1" s="1" t="s">
        <v>4</v>
      </c>
      <c r="G1" s="1" t="s">
        <v>6</v>
      </c>
      <c r="H1" s="1" t="s">
        <v>9</v>
      </c>
      <c r="I1" s="1" t="s">
        <v>7</v>
      </c>
    </row>
    <row r="2" spans="1:9" ht="15" customHeight="1" x14ac:dyDescent="0.35">
      <c r="A2">
        <v>1970</v>
      </c>
      <c r="B2">
        <v>1.6315999999999999</v>
      </c>
      <c r="D2">
        <v>406.2</v>
      </c>
      <c r="G2">
        <v>170.97</v>
      </c>
      <c r="H2">
        <v>21.418933314395282</v>
      </c>
    </row>
    <row r="3" spans="1:9" ht="15" customHeight="1" x14ac:dyDescent="0.35">
      <c r="A3">
        <v>1971</v>
      </c>
      <c r="B3">
        <f t="shared" ref="B3:B11" si="0">+B2*(1+C3/100)</f>
        <v>1.7436</v>
      </c>
      <c r="C3">
        <v>6.8644275557734806</v>
      </c>
      <c r="D3">
        <f t="shared" ref="D3:D11" si="1">+D2*(1+E3/100)</f>
        <v>421.7</v>
      </c>
      <c r="E3">
        <v>3.8158542589857216</v>
      </c>
      <c r="G3">
        <v>150.78</v>
      </c>
      <c r="H3">
        <v>-11.809089313914722</v>
      </c>
    </row>
    <row r="4" spans="1:9" ht="15" customHeight="1" x14ac:dyDescent="0.35">
      <c r="A4">
        <v>1972</v>
      </c>
      <c r="B4">
        <f t="shared" si="0"/>
        <v>1.8744000000000001</v>
      </c>
      <c r="C4">
        <v>7.5017205781142478</v>
      </c>
      <c r="D4">
        <f t="shared" si="1"/>
        <v>429.7</v>
      </c>
      <c r="E4">
        <v>1.8970832345269151</v>
      </c>
      <c r="G4">
        <v>132.6</v>
      </c>
      <c r="H4">
        <v>-12.05730202944688</v>
      </c>
    </row>
    <row r="5" spans="1:9" ht="15" customHeight="1" x14ac:dyDescent="0.35">
      <c r="A5">
        <v>1973</v>
      </c>
      <c r="B5">
        <f t="shared" si="0"/>
        <v>2.0920999999999998</v>
      </c>
      <c r="C5">
        <v>11.614383269312835</v>
      </c>
      <c r="D5">
        <f t="shared" si="1"/>
        <v>451.40000000000003</v>
      </c>
      <c r="E5">
        <v>5.050034908075399</v>
      </c>
      <c r="G5">
        <v>147.83000000000001</v>
      </c>
      <c r="H5">
        <v>11.485671191553548</v>
      </c>
    </row>
    <row r="6" spans="1:9" ht="15" customHeight="1" x14ac:dyDescent="0.35">
      <c r="A6">
        <v>1974</v>
      </c>
      <c r="B6">
        <f t="shared" si="0"/>
        <v>2.1453000000000002</v>
      </c>
      <c r="C6">
        <v>2.5428994789924171</v>
      </c>
      <c r="D6">
        <f t="shared" si="1"/>
        <v>458</v>
      </c>
      <c r="E6">
        <v>1.4621178555604837</v>
      </c>
      <c r="G6">
        <v>127.43</v>
      </c>
      <c r="H6">
        <v>-13.799634715551646</v>
      </c>
    </row>
    <row r="7" spans="1:9" ht="15" customHeight="1" x14ac:dyDescent="0.35">
      <c r="A7">
        <v>1975</v>
      </c>
      <c r="B7">
        <f t="shared" si="0"/>
        <v>2.1442000000000001</v>
      </c>
      <c r="C7">
        <v>-5.1274879970172035E-2</v>
      </c>
      <c r="D7">
        <f t="shared" si="1"/>
        <v>466.60000000000008</v>
      </c>
      <c r="E7">
        <v>1.8777292576419264</v>
      </c>
      <c r="G7">
        <v>127.97</v>
      </c>
      <c r="H7">
        <v>0.42376206544769701</v>
      </c>
    </row>
    <row r="8" spans="1:9" ht="15" customHeight="1" x14ac:dyDescent="0.35">
      <c r="A8">
        <v>1976</v>
      </c>
      <c r="B8">
        <f t="shared" si="0"/>
        <v>2.1821000000000002</v>
      </c>
      <c r="C8">
        <v>1.7675589963622815</v>
      </c>
      <c r="D8">
        <f t="shared" si="1"/>
        <v>487.20000000000005</v>
      </c>
      <c r="E8">
        <v>4.4149164166309394</v>
      </c>
      <c r="G8">
        <v>135.25</v>
      </c>
      <c r="H8">
        <v>5.6888333203094499</v>
      </c>
    </row>
    <row r="9" spans="1:9" ht="15" customHeight="1" x14ac:dyDescent="0.35">
      <c r="A9">
        <v>1977</v>
      </c>
      <c r="B9">
        <f t="shared" si="0"/>
        <v>2.1063000000000001</v>
      </c>
      <c r="C9">
        <v>-3.4737179780945002</v>
      </c>
      <c r="D9">
        <f t="shared" si="1"/>
        <v>493.6</v>
      </c>
      <c r="E9">
        <v>1.3136288998358034</v>
      </c>
      <c r="G9">
        <v>158.41</v>
      </c>
      <c r="H9">
        <v>17.123844731977812</v>
      </c>
    </row>
    <row r="10" spans="1:9" ht="15" customHeight="1" x14ac:dyDescent="0.35">
      <c r="A10">
        <v>1978</v>
      </c>
      <c r="B10">
        <f t="shared" si="0"/>
        <v>2.1472000000000002</v>
      </c>
      <c r="C10">
        <v>1.9417936666191977</v>
      </c>
      <c r="D10">
        <f t="shared" si="1"/>
        <v>504.7</v>
      </c>
      <c r="E10">
        <v>2.2487844408427806</v>
      </c>
      <c r="G10">
        <v>169.02</v>
      </c>
      <c r="H10">
        <v>6.6978094817246481</v>
      </c>
    </row>
    <row r="11" spans="1:9" ht="15" customHeight="1" x14ac:dyDescent="0.35">
      <c r="A11">
        <v>1979</v>
      </c>
      <c r="B11">
        <f t="shared" si="0"/>
        <v>2.4110999999999998</v>
      </c>
      <c r="C11">
        <v>12.29042473919521</v>
      </c>
      <c r="D11">
        <f t="shared" si="1"/>
        <v>525.79999999999995</v>
      </c>
      <c r="E11">
        <v>4.1807014067762962</v>
      </c>
      <c r="G11">
        <v>240.7</v>
      </c>
      <c r="H11">
        <v>42.40918234528457</v>
      </c>
    </row>
    <row r="12" spans="1:9" ht="15" customHeight="1" x14ac:dyDescent="0.35">
      <c r="A12">
        <v>1980</v>
      </c>
      <c r="B12">
        <f>+B11*(1+C12/100)</f>
        <v>2.370255218559</v>
      </c>
      <c r="C12">
        <v>-1.6940310000000001</v>
      </c>
      <c r="D12">
        <f>+D11*(1+E12/100)</f>
        <v>541.01512192199993</v>
      </c>
      <c r="E12">
        <v>2.8937089999999999</v>
      </c>
      <c r="F12">
        <v>145.523507</v>
      </c>
      <c r="G12">
        <v>199.05</v>
      </c>
      <c r="H12">
        <v>-17.303697548815943</v>
      </c>
    </row>
    <row r="13" spans="1:9" ht="15" customHeight="1" x14ac:dyDescent="0.35">
      <c r="A13">
        <v>1981</v>
      </c>
      <c r="B13">
        <f>+B12*(1+C13/100)</f>
        <v>2.5125730926158472</v>
      </c>
      <c r="C13">
        <v>6.004327</v>
      </c>
      <c r="D13">
        <f t="shared" ref="D13:D57" si="2">+D12*(1+E13/100)</f>
        <v>563.34350309292574</v>
      </c>
      <c r="E13">
        <v>4.1271269999999998</v>
      </c>
      <c r="F13">
        <v>149.59812400000001</v>
      </c>
      <c r="G13">
        <v>232.88</v>
      </c>
      <c r="H13">
        <v>16.995729716151708</v>
      </c>
    </row>
    <row r="14" spans="1:9" ht="15" customHeight="1" x14ac:dyDescent="0.35">
      <c r="A14">
        <v>1982</v>
      </c>
      <c r="B14">
        <f t="shared" ref="B14:B57" si="3">+B13*(1+C14/100)</f>
        <v>2.485130342160871</v>
      </c>
      <c r="C14">
        <v>-1.092217</v>
      </c>
      <c r="D14">
        <f t="shared" si="2"/>
        <v>563.69686593867573</v>
      </c>
      <c r="E14">
        <v>6.2726000000000004E-2</v>
      </c>
      <c r="F14">
        <v>150.22906</v>
      </c>
      <c r="G14">
        <v>241.41</v>
      </c>
      <c r="H14">
        <v>3.662830642390924</v>
      </c>
    </row>
    <row r="15" spans="1:9" ht="15" customHeight="1" x14ac:dyDescent="0.35">
      <c r="A15">
        <v>1983</v>
      </c>
      <c r="B15">
        <f t="shared" si="3"/>
        <v>2.3804663193060862</v>
      </c>
      <c r="C15">
        <v>-4.2116110000000004</v>
      </c>
      <c r="D15">
        <f t="shared" si="2"/>
        <v>561.02722576643339</v>
      </c>
      <c r="E15">
        <v>-0.47359499999999999</v>
      </c>
      <c r="F15">
        <v>149.50779399999999</v>
      </c>
      <c r="G15">
        <v>130.51</v>
      </c>
      <c r="H15">
        <v>-45.938444969139638</v>
      </c>
    </row>
    <row r="16" spans="1:9" ht="15" customHeight="1" x14ac:dyDescent="0.35">
      <c r="A16">
        <v>1984</v>
      </c>
      <c r="B16">
        <f t="shared" si="3"/>
        <v>2.6210661441921297</v>
      </c>
      <c r="C16">
        <v>10.107256</v>
      </c>
      <c r="D16">
        <f t="shared" si="2"/>
        <v>596.63028280663968</v>
      </c>
      <c r="E16">
        <v>6.3460479999999997</v>
      </c>
      <c r="F16">
        <v>151.54519300000001</v>
      </c>
      <c r="G16">
        <v>254.15</v>
      </c>
      <c r="H16">
        <v>94.736035552831211</v>
      </c>
    </row>
    <row r="17" spans="1:9" ht="15" customHeight="1" x14ac:dyDescent="0.35">
      <c r="A17">
        <v>1985</v>
      </c>
      <c r="B17">
        <f t="shared" si="3"/>
        <v>2.5221464526437827</v>
      </c>
      <c r="C17">
        <v>-3.774025</v>
      </c>
      <c r="D17">
        <f t="shared" si="2"/>
        <v>629.18479965879271</v>
      </c>
      <c r="E17">
        <v>5.4563969999999999</v>
      </c>
      <c r="F17">
        <v>153.658357</v>
      </c>
      <c r="G17">
        <v>180.27</v>
      </c>
      <c r="H17">
        <v>-29.069447176864049</v>
      </c>
    </row>
    <row r="18" spans="1:9" ht="15" customHeight="1" x14ac:dyDescent="0.35">
      <c r="A18">
        <v>1986</v>
      </c>
      <c r="B18">
        <f t="shared" si="3"/>
        <v>2.688499691442273</v>
      </c>
      <c r="C18">
        <v>6.595701</v>
      </c>
      <c r="D18">
        <f t="shared" si="2"/>
        <v>644.5878349881516</v>
      </c>
      <c r="E18">
        <v>2.4480940000000002</v>
      </c>
      <c r="F18">
        <v>138.165279</v>
      </c>
      <c r="G18">
        <v>243.42</v>
      </c>
      <c r="H18">
        <v>35.030787152604418</v>
      </c>
    </row>
    <row r="19" spans="1:9" ht="15" customHeight="1" x14ac:dyDescent="0.35">
      <c r="A19">
        <v>1987</v>
      </c>
      <c r="B19">
        <f t="shared" si="3"/>
        <v>2.4950972235639748</v>
      </c>
      <c r="C19">
        <v>-7.193695</v>
      </c>
      <c r="D19">
        <f t="shared" si="2"/>
        <v>676.12515211676748</v>
      </c>
      <c r="E19">
        <v>4.892633</v>
      </c>
      <c r="F19">
        <v>117.477293</v>
      </c>
      <c r="G19">
        <v>175.38</v>
      </c>
      <c r="H19">
        <v>-27.95168843973379</v>
      </c>
    </row>
    <row r="20" spans="1:9" ht="15" customHeight="1" x14ac:dyDescent="0.35">
      <c r="A20">
        <v>1988</v>
      </c>
      <c r="B20">
        <f t="shared" si="3"/>
        <v>2.581465263467364</v>
      </c>
      <c r="C20">
        <v>3.4615100000000001</v>
      </c>
      <c r="D20">
        <f t="shared" si="2"/>
        <v>704.88252628419218</v>
      </c>
      <c r="E20">
        <v>4.2532620000000003</v>
      </c>
      <c r="F20">
        <v>99.757068000000004</v>
      </c>
      <c r="G20">
        <v>188.71</v>
      </c>
      <c r="H20">
        <v>7.6006386132968506</v>
      </c>
    </row>
    <row r="21" spans="1:9" ht="15" customHeight="1" x14ac:dyDescent="0.35">
      <c r="A21">
        <v>1989</v>
      </c>
      <c r="B21">
        <f t="shared" si="3"/>
        <v>2.9399728604824689</v>
      </c>
      <c r="C21">
        <v>13.887756</v>
      </c>
      <c r="D21">
        <f t="shared" si="2"/>
        <v>737.52174512486806</v>
      </c>
      <c r="E21">
        <v>4.6304480000000003</v>
      </c>
      <c r="F21">
        <v>99.705547999999894</v>
      </c>
      <c r="G21">
        <v>242.83</v>
      </c>
      <c r="H21">
        <v>28.678925335170359</v>
      </c>
    </row>
    <row r="22" spans="1:9" ht="15" customHeight="1" x14ac:dyDescent="0.35">
      <c r="A22">
        <v>1990</v>
      </c>
      <c r="B22">
        <f t="shared" si="3"/>
        <v>3.1105626983312336</v>
      </c>
      <c r="C22">
        <v>5.8024290000000001</v>
      </c>
      <c r="D22">
        <f t="shared" si="2"/>
        <v>748.48072086481</v>
      </c>
      <c r="E22">
        <v>1.485919</v>
      </c>
      <c r="F22">
        <v>100.46610200000001</v>
      </c>
      <c r="G22">
        <v>237.91</v>
      </c>
      <c r="H22">
        <v>-2.0261088003953431</v>
      </c>
      <c r="I22">
        <v>4016</v>
      </c>
    </row>
    <row r="23" spans="1:9" ht="15" customHeight="1" x14ac:dyDescent="0.35">
      <c r="A23">
        <v>1991</v>
      </c>
      <c r="B23">
        <f t="shared" si="3"/>
        <v>3.0265775054762902</v>
      </c>
      <c r="C23">
        <v>-2.7</v>
      </c>
      <c r="D23">
        <f t="shared" si="2"/>
        <v>741.10214552487423</v>
      </c>
      <c r="E23">
        <v>-0.98580699999999999</v>
      </c>
      <c r="F23">
        <v>103.380059</v>
      </c>
      <c r="G23">
        <v>200.26</v>
      </c>
      <c r="H23">
        <v>-15.825312092808208</v>
      </c>
      <c r="I23">
        <v>3380</v>
      </c>
    </row>
    <row r="24" spans="1:9" ht="15" customHeight="1" x14ac:dyDescent="0.35">
      <c r="A24">
        <v>1992</v>
      </c>
      <c r="B24">
        <f t="shared" si="3"/>
        <v>3.2111987333103436</v>
      </c>
      <c r="C24">
        <v>6.1</v>
      </c>
      <c r="D24">
        <f t="shared" si="2"/>
        <v>760.38536396568054</v>
      </c>
      <c r="E24">
        <v>2.6019649999999999</v>
      </c>
      <c r="F24">
        <v>103.72026099999999</v>
      </c>
      <c r="G24">
        <v>209.3</v>
      </c>
      <c r="H24">
        <v>4.5141316288824562</v>
      </c>
      <c r="I24">
        <v>3533</v>
      </c>
    </row>
    <row r="25" spans="1:9" ht="15" customHeight="1" x14ac:dyDescent="0.35">
      <c r="A25">
        <v>1993</v>
      </c>
      <c r="B25">
        <f t="shared" si="3"/>
        <v>3.2946899003764125</v>
      </c>
      <c r="C25">
        <v>2.6</v>
      </c>
      <c r="D25">
        <f t="shared" si="2"/>
        <v>790.17872246575473</v>
      </c>
      <c r="E25">
        <v>3.9181919999999999</v>
      </c>
      <c r="F25">
        <v>107.430565</v>
      </c>
      <c r="G25">
        <v>219.43</v>
      </c>
      <c r="H25">
        <v>4.8399426660296285</v>
      </c>
      <c r="I25">
        <v>3704</v>
      </c>
    </row>
    <row r="26" spans="1:9" ht="15" customHeight="1" x14ac:dyDescent="0.35">
      <c r="A26">
        <v>1994</v>
      </c>
      <c r="B26">
        <f t="shared" si="3"/>
        <v>3.4627190852956091</v>
      </c>
      <c r="C26">
        <v>5.0999999999999996</v>
      </c>
      <c r="D26">
        <f t="shared" si="2"/>
        <v>828.70308799906297</v>
      </c>
      <c r="E26">
        <v>4.8753989999999998</v>
      </c>
      <c r="F26">
        <v>107.70133800000001</v>
      </c>
      <c r="G26">
        <v>240.78</v>
      </c>
      <c r="H26">
        <v>9.729754363578369</v>
      </c>
      <c r="I26">
        <v>4064</v>
      </c>
    </row>
    <row r="27" spans="1:9" ht="15" customHeight="1" x14ac:dyDescent="0.35">
      <c r="A27">
        <v>1995</v>
      </c>
      <c r="B27">
        <f t="shared" si="3"/>
        <v>3.5527497815132949</v>
      </c>
      <c r="C27">
        <v>2.6</v>
      </c>
      <c r="D27">
        <f t="shared" si="2"/>
        <v>853.22919398977297</v>
      </c>
      <c r="E27">
        <v>2.9595769999999999</v>
      </c>
      <c r="F27">
        <v>105.65124900000001</v>
      </c>
      <c r="G27">
        <v>243.5</v>
      </c>
      <c r="H27">
        <v>1.129661932054149</v>
      </c>
      <c r="I27">
        <v>4110.2</v>
      </c>
    </row>
    <row r="28" spans="1:9" ht="15" customHeight="1" x14ac:dyDescent="0.35">
      <c r="A28">
        <v>1996</v>
      </c>
      <c r="B28">
        <f t="shared" si="3"/>
        <v>3.7232817710259334</v>
      </c>
      <c r="C28">
        <v>4.8</v>
      </c>
      <c r="D28">
        <f t="shared" si="2"/>
        <v>887.09386923151897</v>
      </c>
      <c r="E28">
        <v>3.969001</v>
      </c>
      <c r="F28">
        <v>106.05056500000001</v>
      </c>
      <c r="G28">
        <v>220.91</v>
      </c>
      <c r="H28">
        <v>-9.2772073921971288</v>
      </c>
      <c r="I28">
        <v>4380</v>
      </c>
    </row>
    <row r="29" spans="1:9" ht="15" customHeight="1" x14ac:dyDescent="0.35">
      <c r="A29">
        <v>1997</v>
      </c>
      <c r="B29">
        <f t="shared" si="3"/>
        <v>3.633923008521311</v>
      </c>
      <c r="C29">
        <v>-2.4</v>
      </c>
      <c r="D29">
        <f t="shared" si="2"/>
        <v>928.97863610393222</v>
      </c>
      <c r="E29">
        <v>4.721571</v>
      </c>
      <c r="F29">
        <v>109.323742</v>
      </c>
      <c r="G29">
        <v>200.47</v>
      </c>
      <c r="H29">
        <v>-9.252636820424609</v>
      </c>
      <c r="I29">
        <v>3280</v>
      </c>
    </row>
    <row r="30" spans="1:9" ht="15" customHeight="1" x14ac:dyDescent="0.35">
      <c r="A30">
        <v>1998</v>
      </c>
      <c r="B30">
        <f t="shared" si="3"/>
        <v>3.6811640076320877</v>
      </c>
      <c r="C30">
        <v>1.3</v>
      </c>
      <c r="D30">
        <f t="shared" si="2"/>
        <v>972.52810481862582</v>
      </c>
      <c r="E30">
        <v>4.6878869999999999</v>
      </c>
      <c r="F30">
        <v>92.983952000000002</v>
      </c>
      <c r="G30">
        <v>134.06</v>
      </c>
      <c r="H30">
        <v>-33.127151194692473</v>
      </c>
    </row>
    <row r="31" spans="1:9" ht="15" customHeight="1" x14ac:dyDescent="0.35">
      <c r="A31">
        <v>1999</v>
      </c>
      <c r="B31">
        <f t="shared" si="3"/>
        <v>4.0014252762960796</v>
      </c>
      <c r="C31">
        <v>8.6999999999999993</v>
      </c>
      <c r="D31">
        <f t="shared" si="2"/>
        <v>1015.5165215038973</v>
      </c>
      <c r="E31">
        <v>4.4202750000000002</v>
      </c>
      <c r="F31">
        <v>93.198896000000005</v>
      </c>
      <c r="G31">
        <v>221.98</v>
      </c>
      <c r="H31">
        <v>65.582574966432944</v>
      </c>
      <c r="I31">
        <v>3958</v>
      </c>
    </row>
    <row r="32" spans="1:9" ht="15" customHeight="1" x14ac:dyDescent="0.35">
      <c r="A32">
        <v>2000</v>
      </c>
      <c r="B32">
        <f t="shared" si="3"/>
        <v>3.9334010465990463</v>
      </c>
      <c r="C32">
        <v>-1.7</v>
      </c>
      <c r="D32">
        <f t="shared" si="2"/>
        <v>1047.0823597655594</v>
      </c>
      <c r="E32">
        <v>3.1083530000000001</v>
      </c>
      <c r="F32">
        <v>90.232321999999996</v>
      </c>
      <c r="G32">
        <v>213.15</v>
      </c>
      <c r="H32">
        <v>-3.9778358410667569</v>
      </c>
      <c r="I32">
        <v>3786</v>
      </c>
    </row>
    <row r="33" spans="1:9" ht="15" customHeight="1" x14ac:dyDescent="0.35">
      <c r="A33">
        <v>2001</v>
      </c>
      <c r="B33">
        <f t="shared" si="3"/>
        <v>4.0081356664844279</v>
      </c>
      <c r="C33">
        <v>1.9</v>
      </c>
      <c r="D33">
        <f t="shared" si="2"/>
        <v>1074.1435332209901</v>
      </c>
      <c r="E33">
        <v>2.5844360000000002</v>
      </c>
      <c r="F33">
        <v>91.391751999999997</v>
      </c>
      <c r="G33">
        <v>182.29</v>
      </c>
      <c r="H33">
        <v>-14.478067088904535</v>
      </c>
      <c r="I33">
        <v>2805</v>
      </c>
    </row>
    <row r="34" spans="1:9" ht="15" customHeight="1" x14ac:dyDescent="0.35">
      <c r="A34">
        <v>2002</v>
      </c>
      <c r="B34">
        <f t="shared" si="3"/>
        <v>4.1363960078119293</v>
      </c>
      <c r="C34">
        <v>3.2</v>
      </c>
      <c r="D34">
        <f t="shared" si="2"/>
        <v>1118.6829700160458</v>
      </c>
      <c r="E34">
        <v>4.1465069999999997</v>
      </c>
      <c r="F34">
        <v>91.669841000000005</v>
      </c>
      <c r="G34">
        <v>190.52</v>
      </c>
      <c r="H34">
        <v>4.5147841351692364</v>
      </c>
      <c r="I34">
        <v>3422</v>
      </c>
    </row>
    <row r="35" spans="1:9" ht="15" customHeight="1" x14ac:dyDescent="0.35">
      <c r="A35">
        <v>2003</v>
      </c>
      <c r="B35">
        <f t="shared" si="3"/>
        <v>4.1694871758744245</v>
      </c>
      <c r="C35">
        <v>0.8</v>
      </c>
      <c r="D35">
        <f t="shared" si="2"/>
        <v>1152.4420812778537</v>
      </c>
      <c r="E35">
        <v>3.0177550000000002</v>
      </c>
      <c r="F35">
        <v>97.889978999999997</v>
      </c>
      <c r="G35">
        <v>166.88</v>
      </c>
      <c r="H35">
        <v>-12.408146126390939</v>
      </c>
      <c r="I35">
        <v>2610</v>
      </c>
    </row>
    <row r="36" spans="1:9" ht="15" customHeight="1" x14ac:dyDescent="0.35">
      <c r="A36">
        <v>2004</v>
      </c>
      <c r="B36">
        <f t="shared" si="3"/>
        <v>4.3946394833716438</v>
      </c>
      <c r="C36">
        <v>5.4</v>
      </c>
      <c r="D36">
        <f t="shared" si="2"/>
        <v>1199.7572504413131</v>
      </c>
      <c r="E36">
        <v>4.1056439999999998</v>
      </c>
      <c r="F36">
        <v>99.843783000000002</v>
      </c>
      <c r="G36">
        <v>176.01</v>
      </c>
      <c r="H36">
        <v>5.4709971236816868</v>
      </c>
      <c r="I36">
        <v>3001</v>
      </c>
    </row>
    <row r="37" spans="1:9" ht="15" customHeight="1" x14ac:dyDescent="0.35">
      <c r="A37">
        <v>2005</v>
      </c>
      <c r="B37">
        <f t="shared" si="3"/>
        <v>4.3375091700878121</v>
      </c>
      <c r="C37">
        <v>-1.3</v>
      </c>
      <c r="D37">
        <f t="shared" si="2"/>
        <v>1236.1813526715212</v>
      </c>
      <c r="E37">
        <v>3.0359560000000001</v>
      </c>
      <c r="F37">
        <v>100</v>
      </c>
      <c r="G37">
        <v>167.42</v>
      </c>
      <c r="H37">
        <v>-4.8804045224703163</v>
      </c>
    </row>
    <row r="38" spans="1:9" ht="15" customHeight="1" x14ac:dyDescent="0.35">
      <c r="A38">
        <v>2006</v>
      </c>
      <c r="B38">
        <f t="shared" si="3"/>
        <v>4.4199218443194805</v>
      </c>
      <c r="C38">
        <v>1.9</v>
      </c>
      <c r="D38">
        <f t="shared" si="2"/>
        <v>1268.7843996668798</v>
      </c>
      <c r="E38">
        <v>2.6374</v>
      </c>
      <c r="F38">
        <v>97.790079000000006</v>
      </c>
      <c r="G38">
        <v>189.1</v>
      </c>
      <c r="H38">
        <v>12.949468402819253</v>
      </c>
      <c r="I38">
        <v>3226</v>
      </c>
    </row>
    <row r="39" spans="1:9" ht="15" customHeight="1" x14ac:dyDescent="0.35">
      <c r="A39">
        <v>2007</v>
      </c>
      <c r="B39">
        <f t="shared" si="3"/>
        <v>4.3801425477206051</v>
      </c>
      <c r="C39">
        <v>-0.9</v>
      </c>
      <c r="D39">
        <f t="shared" si="2"/>
        <v>1324.0871844277281</v>
      </c>
      <c r="E39">
        <v>4.3587220000000002</v>
      </c>
      <c r="F39">
        <v>99.500412999999995</v>
      </c>
      <c r="G39">
        <v>148.87</v>
      </c>
      <c r="H39">
        <v>-21.274457958751981</v>
      </c>
      <c r="I39">
        <v>2478</v>
      </c>
    </row>
    <row r="40" spans="1:9" ht="15" customHeight="1" x14ac:dyDescent="0.35">
      <c r="A40">
        <v>2008</v>
      </c>
      <c r="B40">
        <f t="shared" si="3"/>
        <v>4.4239439731978107</v>
      </c>
      <c r="C40">
        <v>1</v>
      </c>
      <c r="D40">
        <f t="shared" si="2"/>
        <v>1359.3375101229494</v>
      </c>
      <c r="E40">
        <v>2.662236</v>
      </c>
      <c r="F40">
        <v>102.174897</v>
      </c>
      <c r="G40">
        <v>137.56</v>
      </c>
      <c r="H40">
        <v>-7.5972324847182087</v>
      </c>
      <c r="I40">
        <v>2321</v>
      </c>
    </row>
    <row r="41" spans="1:9" ht="15" customHeight="1" x14ac:dyDescent="0.35">
      <c r="A41">
        <v>2009</v>
      </c>
      <c r="B41">
        <f t="shared" si="3"/>
        <v>4.3620087575730411</v>
      </c>
      <c r="C41">
        <v>-1.4</v>
      </c>
      <c r="D41">
        <f t="shared" si="2"/>
        <v>1386.2348029960028</v>
      </c>
      <c r="E41">
        <v>1.9787060000000001</v>
      </c>
      <c r="F41">
        <v>90.552314999999894</v>
      </c>
      <c r="G41">
        <v>123.76</v>
      </c>
      <c r="H41">
        <v>-10.0319860424542</v>
      </c>
      <c r="I41">
        <v>2247</v>
      </c>
    </row>
    <row r="42" spans="1:9" ht="15" customHeight="1" x14ac:dyDescent="0.35">
      <c r="A42">
        <v>2010</v>
      </c>
      <c r="B42">
        <f t="shared" si="3"/>
        <v>4.4928690203002324</v>
      </c>
      <c r="C42">
        <v>3</v>
      </c>
      <c r="D42">
        <f t="shared" si="2"/>
        <v>1419.8920433811727</v>
      </c>
      <c r="E42">
        <v>2.4279609999999998</v>
      </c>
      <c r="F42">
        <v>88.007182</v>
      </c>
      <c r="G42">
        <v>103.73</v>
      </c>
      <c r="H42">
        <v>-16.18455074337427</v>
      </c>
      <c r="I42">
        <v>1778</v>
      </c>
    </row>
    <row r="43" spans="1:9" ht="15" customHeight="1" x14ac:dyDescent="0.35">
      <c r="A43">
        <v>2011</v>
      </c>
      <c r="B43">
        <f t="shared" si="3"/>
        <v>4.6141764838483379</v>
      </c>
      <c r="C43">
        <v>2.7</v>
      </c>
      <c r="D43">
        <f t="shared" si="2"/>
        <v>1458.9567948268564</v>
      </c>
      <c r="E43">
        <v>2.7512479999999999</v>
      </c>
      <c r="F43">
        <v>92.155704999999998</v>
      </c>
      <c r="G43">
        <v>125.3</v>
      </c>
      <c r="H43">
        <v>20.794369999035943</v>
      </c>
      <c r="I43">
        <v>2096</v>
      </c>
    </row>
    <row r="44" spans="1:9" ht="15" customHeight="1" x14ac:dyDescent="0.35">
      <c r="A44">
        <v>2012</v>
      </c>
      <c r="B44">
        <f t="shared" si="3"/>
        <v>4.6792970025495979</v>
      </c>
      <c r="C44">
        <v>1.411314</v>
      </c>
      <c r="D44">
        <f t="shared" si="2"/>
        <v>1515.4998033966713</v>
      </c>
      <c r="E44">
        <v>3.875578</v>
      </c>
      <c r="F44">
        <v>94.978415999999996</v>
      </c>
      <c r="G44">
        <v>91.59</v>
      </c>
      <c r="H44">
        <v>-26.90343176376695</v>
      </c>
      <c r="I44">
        <v>1640</v>
      </c>
    </row>
    <row r="45" spans="1:9" ht="15" customHeight="1" x14ac:dyDescent="0.35">
      <c r="A45">
        <v>2013</v>
      </c>
      <c r="B45">
        <f t="shared" si="3"/>
        <v>4.9008252171037006</v>
      </c>
      <c r="C45">
        <v>4.7342199999999997</v>
      </c>
      <c r="D45">
        <f t="shared" si="2"/>
        <v>1549.5195005033513</v>
      </c>
      <c r="E45">
        <v>2.2447840000000001</v>
      </c>
      <c r="F45">
        <v>95.888873000000004</v>
      </c>
      <c r="G45">
        <v>95.38</v>
      </c>
      <c r="H45">
        <v>4.1380063325690442</v>
      </c>
      <c r="I45">
        <v>1760</v>
      </c>
    </row>
    <row r="46" spans="1:9" ht="15" customHeight="1" x14ac:dyDescent="0.35">
      <c r="A46">
        <v>2014</v>
      </c>
      <c r="B46">
        <f t="shared" si="3"/>
        <v>5.1754436932678889</v>
      </c>
      <c r="C46">
        <v>5.6035149999999998</v>
      </c>
      <c r="D46">
        <f t="shared" si="2"/>
        <v>1589.1696591554914</v>
      </c>
      <c r="E46">
        <v>2.5588679999999999</v>
      </c>
      <c r="F46">
        <v>94.261415315120132</v>
      </c>
      <c r="G46">
        <v>108.53</v>
      </c>
      <c r="H46">
        <v>13.786957433424195</v>
      </c>
    </row>
    <row r="47" spans="1:9" ht="15" customHeight="1" x14ac:dyDescent="0.35">
      <c r="A47">
        <v>2015</v>
      </c>
      <c r="B47">
        <f t="shared" si="3"/>
        <v>5.4084007130348253</v>
      </c>
      <c r="C47" s="2">
        <v>4.5011989999999997</v>
      </c>
      <c r="D47">
        <f t="shared" si="2"/>
        <v>1626.0086459918793</v>
      </c>
      <c r="E47" s="2">
        <v>2.3181280000000002</v>
      </c>
      <c r="F47">
        <v>95.854201548947259</v>
      </c>
      <c r="G47">
        <v>109.3</v>
      </c>
      <c r="H47" s="2">
        <v>0.70948124942411539</v>
      </c>
    </row>
    <row r="48" spans="1:9" ht="15" customHeight="1" x14ac:dyDescent="0.35">
      <c r="A48">
        <v>2016</v>
      </c>
      <c r="B48">
        <f t="shared" si="3"/>
        <v>5.5406713732411754</v>
      </c>
      <c r="C48">
        <v>2.4456519999999999</v>
      </c>
      <c r="D48">
        <f t="shared" si="2"/>
        <v>1669.9420012391442</v>
      </c>
      <c r="E48">
        <v>2.7019139999999999</v>
      </c>
      <c r="F48">
        <v>100.02477147968932</v>
      </c>
      <c r="G48">
        <v>82.17</v>
      </c>
      <c r="H48">
        <v>-24.821591948764866</v>
      </c>
    </row>
    <row r="49" spans="1:8" ht="15" customHeight="1" x14ac:dyDescent="0.35">
      <c r="A49">
        <v>2017</v>
      </c>
      <c r="B49">
        <f t="shared" si="3"/>
        <v>5.8372837353012885</v>
      </c>
      <c r="C49">
        <v>5.3533650000000002</v>
      </c>
      <c r="D49">
        <f t="shared" si="2"/>
        <v>1709.802548242362</v>
      </c>
      <c r="E49">
        <v>2.3869419999999999</v>
      </c>
      <c r="F49">
        <v>101.85523399593427</v>
      </c>
      <c r="G49">
        <v>96.62</v>
      </c>
      <c r="H49">
        <v>17.58549348910794</v>
      </c>
    </row>
    <row r="50" spans="1:8" ht="15" customHeight="1" x14ac:dyDescent="0.35">
      <c r="A50">
        <v>2018</v>
      </c>
      <c r="B50">
        <f t="shared" si="3"/>
        <v>6.0598214801568844</v>
      </c>
      <c r="C50">
        <v>3.812351</v>
      </c>
      <c r="D50">
        <f t="shared" si="2"/>
        <v>1757.4240714041614</v>
      </c>
      <c r="E50">
        <v>2.7852060000000001</v>
      </c>
      <c r="F50">
        <v>102.87031787091409</v>
      </c>
      <c r="G50">
        <v>100.53</v>
      </c>
      <c r="H50">
        <v>4.0467812047195073</v>
      </c>
    </row>
    <row r="51" spans="1:8" ht="15" customHeight="1" x14ac:dyDescent="0.35">
      <c r="A51">
        <v>2019</v>
      </c>
      <c r="B51">
        <f t="shared" si="3"/>
        <v>6.5190486895125774</v>
      </c>
      <c r="C51">
        <v>7.5782299999999996</v>
      </c>
      <c r="D51">
        <f t="shared" si="2"/>
        <v>1792.1760955359764</v>
      </c>
      <c r="E51">
        <v>1.977441</v>
      </c>
      <c r="F51">
        <v>103.52420307309086</v>
      </c>
      <c r="G51">
        <v>106.99</v>
      </c>
      <c r="H51">
        <v>6.4259425047249463</v>
      </c>
    </row>
    <row r="52" spans="1:8" ht="15" customHeight="1" x14ac:dyDescent="0.35">
      <c r="A52">
        <v>2020</v>
      </c>
      <c r="B52">
        <f t="shared" si="3"/>
        <v>5.3988262495180477</v>
      </c>
      <c r="C52">
        <v>-17.183833</v>
      </c>
      <c r="D52">
        <f t="shared" si="2"/>
        <v>1755.5127964356368</v>
      </c>
      <c r="E52">
        <v>-2.0457420000000002</v>
      </c>
      <c r="F52">
        <v>101.02418054379024</v>
      </c>
      <c r="G52">
        <v>102.25</v>
      </c>
      <c r="H52">
        <v>-4.4303205907094023</v>
      </c>
    </row>
    <row r="53" spans="1:8" s="1" customFormat="1" ht="15" customHeight="1" x14ac:dyDescent="0.35">
      <c r="A53">
        <v>2021</v>
      </c>
      <c r="B53">
        <f t="shared" si="3"/>
        <v>5.1643033427812215</v>
      </c>
      <c r="C53">
        <v>-4.3439610000000002</v>
      </c>
      <c r="D53">
        <f t="shared" si="2"/>
        <v>1849.7400511150875</v>
      </c>
      <c r="E53">
        <v>5.3675059999999997</v>
      </c>
      <c r="F53">
        <v>100.98109647956709</v>
      </c>
      <c r="G53">
        <v>83.95</v>
      </c>
      <c r="H53">
        <v>-17.89731051344743</v>
      </c>
    </row>
    <row r="54" spans="1:8" ht="15" customHeight="1" x14ac:dyDescent="0.35">
      <c r="A54">
        <v>2022</v>
      </c>
      <c r="B54">
        <f t="shared" si="3"/>
        <v>6.080715529622994</v>
      </c>
      <c r="C54">
        <v>17.745127</v>
      </c>
      <c r="D54">
        <f t="shared" si="2"/>
        <v>1927.4583406573283</v>
      </c>
      <c r="E54">
        <v>4.2015789999999997</v>
      </c>
      <c r="F54">
        <v>102.12418156340443</v>
      </c>
      <c r="G54">
        <v>97.1</v>
      </c>
      <c r="H54">
        <v>15.664085765336488</v>
      </c>
    </row>
    <row r="55" spans="1:8" ht="15" customHeight="1" x14ac:dyDescent="0.35">
      <c r="A55">
        <v>2023</v>
      </c>
      <c r="B55">
        <f t="shared" si="3"/>
        <v>6.6762253580227329</v>
      </c>
      <c r="C55">
        <v>9.7934169999999998</v>
      </c>
      <c r="D55">
        <f t="shared" si="2"/>
        <v>1968.5591153710041</v>
      </c>
      <c r="E55">
        <v>2.1323820000000002</v>
      </c>
      <c r="F55">
        <v>101.13767691190553</v>
      </c>
      <c r="G55">
        <v>92.75</v>
      </c>
      <c r="H55">
        <v>-4.4799176107106042</v>
      </c>
    </row>
    <row r="56" spans="1:8" ht="15" customHeight="1" x14ac:dyDescent="0.35">
      <c r="A56">
        <v>2024</v>
      </c>
      <c r="B56">
        <f t="shared" si="3"/>
        <v>6.9133453213994018</v>
      </c>
      <c r="C56">
        <v>3.5517069999999999</v>
      </c>
      <c r="D56">
        <f t="shared" si="2"/>
        <v>1988.598279427426</v>
      </c>
      <c r="E56">
        <v>1.0179609999999999</v>
      </c>
      <c r="F56">
        <v>101.95557617901187</v>
      </c>
      <c r="G56">
        <v>78.91</v>
      </c>
      <c r="H56">
        <v>-14.921832884097041</v>
      </c>
    </row>
    <row r="57" spans="1:8" ht="15" customHeight="1" x14ac:dyDescent="0.35">
      <c r="A57">
        <v>2025</v>
      </c>
      <c r="B57">
        <f t="shared" si="3"/>
        <v>7.0880801243977709</v>
      </c>
      <c r="C57">
        <v>2.5274999999999999</v>
      </c>
      <c r="D57">
        <f t="shared" si="2"/>
        <v>2028.0291805250699</v>
      </c>
      <c r="E57">
        <v>1.9828490000000001</v>
      </c>
      <c r="F57">
        <v>97.401452206755522</v>
      </c>
      <c r="G57">
        <f>+G56*(1+H57/100)</f>
        <v>69.440799999999996</v>
      </c>
      <c r="H57">
        <v>-12</v>
      </c>
    </row>
    <row r="60" spans="1:8" ht="15" customHeight="1" x14ac:dyDescent="0.35">
      <c r="H60" s="3"/>
    </row>
  </sheetData>
  <pageMargins left="0.7" right="0.7" top="0.75" bottom="0.75" header="0.3" footer="0.3"/>
  <pageSetup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Matrix</vt:lpstr>
      <vt:lpstr>Fiji</vt:lpstr>
      <vt:lpstr>Fiji_Data_Transposed</vt:lpstr>
      <vt:lpstr>Fiji_new</vt:lpstr>
    </vt:vector>
  </TitlesOfParts>
  <Company>International Monetary Fund - Work At Home License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Ouliaris</dc:creator>
  <cp:lastModifiedBy>Alvarado, Alfredo</cp:lastModifiedBy>
  <dcterms:created xsi:type="dcterms:W3CDTF">2015-02-01T20:31:08Z</dcterms:created>
  <dcterms:modified xsi:type="dcterms:W3CDTF">2026-10-28T03:27:41Z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Enabled">
    <vt:lpwstr>true</vt:lpwstr>
  </property>
  <property fmtid="{D5CDD505-2E9C-101B-9397-08002B2CF9AE}" pid="3" name="MSIP_Label_0c07ed86-5dc5-4593-ad03-a8684b843815_SetDate">
    <vt:lpwstr>2026-10-28T03:21:27Z</vt:lpwstr>
  </property>
  <property fmtid="{D5CDD505-2E9C-101B-9397-08002B2CF9AE}" pid="4" name="MSIP_Label_0c07ed86-5dc5-4593-ad03-a8684b843815_Method">
    <vt:lpwstr>Standard</vt:lpwstr>
  </property>
  <property fmtid="{D5CDD505-2E9C-101B-9397-08002B2CF9AE}" pid="5" name="MSIP_Label_0c07ed86-5dc5-4593-ad03-a8684b843815_Name">
    <vt:lpwstr>0c07ed86-5dc5-4593-ad03-a8684b843815</vt:lpwstr>
  </property>
  <property fmtid="{D5CDD505-2E9C-101B-9397-08002B2CF9AE}" pid="6" name="MSIP_Label_0c07ed86-5dc5-4593-ad03-a8684b843815_SiteId">
    <vt:lpwstr>8085fa43-302e-45bd-b171-a6648c3b6be7</vt:lpwstr>
  </property>
  <property fmtid="{D5CDD505-2E9C-101B-9397-08002B2CF9AE}" pid="7" name="MSIP_Label_0c07ed86-5dc5-4593-ad03-a8684b843815_ActionId">
    <vt:lpwstr>882a09ff-777e-448e-b719-3147c9cebb8b</vt:lpwstr>
  </property>
  <property fmtid="{D5CDD505-2E9C-101B-9397-08002B2CF9AE}" pid="8" name="MSIP_Label_0c07ed86-5dc5-4593-ad03-a8684b843815_ContentBits">
    <vt:lpwstr>0</vt:lpwstr>
  </property>
  <property fmtid="{D5CDD505-2E9C-101B-9397-08002B2CF9AE}" pid="9" name="MSIP_Label_0c07ed86-5dc5-4593-ad03-a8684b843815_Tag">
    <vt:lpwstr>10, 3, 0, 1</vt:lpwstr>
  </property>
</Properties>
</file>